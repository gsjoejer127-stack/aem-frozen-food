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说明" sheetId="1" state="visible" r:id="rId3"/>
    <sheet name="设定" sheetId="2" state="visible" r:id="rId4"/>
    <sheet name="每日记录" sheetId="3" state="visible" r:id="rId5"/>
    <sheet name="月度结算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WenQuanYi Zen Hei"/>
            <family val="2"/>
          </rPr>
          <t xml:space="preserve">示例数字。请用过去 </t>
        </r>
        <r>
          <rPr>
            <sz val="10"/>
            <rFont val="Arial"/>
            <family val="2"/>
          </rPr>
          <t xml:space="preserve">1–3 </t>
        </r>
        <r>
          <rPr>
            <sz val="10"/>
            <rFont val="WenQuanYi Zen Hei"/>
            <family val="2"/>
          </rPr>
          <t xml:space="preserve">个月实际平均 </t>
        </r>
        <r>
          <rPr>
            <sz val="10"/>
            <rFont val="Arial"/>
            <family val="2"/>
          </rPr>
          <t xml:space="preserve">kg/</t>
        </r>
        <r>
          <rPr>
            <sz val="10"/>
            <rFont val="WenQuanYi Zen Hei"/>
            <family val="2"/>
          </rPr>
          <t xml:space="preserve">人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WenQuanYi Zen Hei"/>
            <family val="2"/>
          </rPr>
          <t xml:space="preserve">小时替换。</t>
        </r>
      </text>
    </comment>
  </commentList>
</comments>
</file>

<file path=xl/sharedStrings.xml><?xml version="1.0" encoding="utf-8"?>
<sst xmlns="http://schemas.openxmlformats.org/spreadsheetml/2006/main" count="126" uniqueCount="85">
  <si>
    <r>
      <rPr>
        <b val="true"/>
        <sz val="16"/>
        <rFont val="WenQuanYi Zen Hei"/>
        <family val="2"/>
      </rPr>
      <t xml:space="preserve">车间 </t>
    </r>
    <r>
      <rPr>
        <b val="true"/>
        <sz val="16"/>
        <rFont val="Arial"/>
        <family val="0"/>
        <charset val="1"/>
      </rPr>
      <t xml:space="preserve">Operator </t>
    </r>
    <r>
      <rPr>
        <b val="true"/>
        <sz val="16"/>
        <rFont val="WenQuanYi Zen Hei"/>
        <family val="2"/>
      </rPr>
      <t xml:space="preserve">激励计算表</t>
    </r>
  </si>
  <si>
    <r>
      <rPr>
        <b val="true"/>
        <sz val="11"/>
        <rFont val="WenQuanYi Zen Hei"/>
        <family val="2"/>
      </rPr>
      <t xml:space="preserve">怎么用（每月 </t>
    </r>
    <r>
      <rPr>
        <b val="true"/>
        <sz val="11"/>
        <rFont val="Arial"/>
        <family val="0"/>
        <charset val="1"/>
      </rPr>
      <t xml:space="preserve">3 </t>
    </r>
    <r>
      <rPr>
        <b val="true"/>
        <sz val="11"/>
        <rFont val="WenQuanYi Zen Hei"/>
        <family val="2"/>
      </rPr>
      <t xml:space="preserve">步）</t>
    </r>
  </si>
  <si>
    <r>
      <rPr>
        <sz val="11"/>
        <rFont val="Arial"/>
        <family val="0"/>
        <charset val="1"/>
      </rPr>
      <t xml:space="preserve">1. </t>
    </r>
    <r>
      <rPr>
        <sz val="11"/>
        <rFont val="WenQuanYi Zen Hei"/>
        <family val="2"/>
      </rPr>
      <t xml:space="preserve">每天：在【每日记录】填一行</t>
    </r>
    <r>
      <rPr>
        <sz val="11"/>
        <rFont val="Arial"/>
        <family val="0"/>
        <charset val="1"/>
      </rPr>
      <t xml:space="preserve">/</t>
    </r>
    <r>
      <rPr>
        <sz val="11"/>
        <rFont val="WenQuanYi Zen Hei"/>
        <family val="2"/>
      </rPr>
      <t xml:space="preserve">每条线（黄色格子）。灰白格子是公式，不要改。</t>
    </r>
  </si>
  <si>
    <r>
      <rPr>
        <sz val="11"/>
        <rFont val="Arial"/>
        <family val="0"/>
        <charset val="1"/>
      </rPr>
      <t xml:space="preserve">2. </t>
    </r>
    <r>
      <rPr>
        <sz val="11"/>
        <rFont val="WenQuanYi Zen Hei"/>
        <family val="2"/>
      </rPr>
      <t xml:space="preserve">月底：在【月度结算】填结算月份、每人迟到</t>
    </r>
    <r>
      <rPr>
        <sz val="11"/>
        <rFont val="Arial"/>
        <family val="0"/>
        <charset val="1"/>
      </rPr>
      <t xml:space="preserve">/</t>
    </r>
    <r>
      <rPr>
        <sz val="11"/>
        <rFont val="WenQuanYi Zen Hei"/>
        <family val="2"/>
      </rPr>
      <t xml:space="preserve">缺勤次数、每条线的品质事件。</t>
    </r>
  </si>
  <si>
    <r>
      <rPr>
        <sz val="11"/>
        <rFont val="Arial"/>
        <family val="0"/>
        <charset val="1"/>
      </rPr>
      <t xml:space="preserve">3. </t>
    </r>
    <r>
      <rPr>
        <sz val="11"/>
        <rFont val="WenQuanYi Zen Hei"/>
        <family val="2"/>
      </rPr>
      <t xml:space="preserve">奖金自动算好。目标、金额都在【设定】里改，蓝色字 </t>
    </r>
    <r>
      <rPr>
        <sz val="11"/>
        <rFont val="Arial"/>
        <family val="0"/>
        <charset val="1"/>
      </rPr>
      <t xml:space="preserve">= </t>
    </r>
    <r>
      <rPr>
        <sz val="11"/>
        <rFont val="WenQuanYi Zen Hei"/>
        <family val="2"/>
      </rPr>
      <t xml:space="preserve">可以改的数字。</t>
    </r>
  </si>
  <si>
    <t xml:space="preserve">奖金规则（可直接翻译贴在车间）</t>
  </si>
  <si>
    <r>
      <rPr>
        <sz val="11"/>
        <rFont val="WenQuanYi Zen Hei"/>
        <family val="2"/>
      </rPr>
      <t xml:space="preserve">① 出勤奖（个人）：全勤 </t>
    </r>
    <r>
      <rPr>
        <sz val="11"/>
        <rFont val="Arial"/>
        <family val="0"/>
        <charset val="1"/>
      </rPr>
      <t xml:space="preserve">RM80</t>
    </r>
    <r>
      <rPr>
        <sz val="11"/>
        <rFont val="WenQuanYi Zen Hei"/>
        <family val="2"/>
      </rPr>
      <t xml:space="preserve">；迟到</t>
    </r>
    <r>
      <rPr>
        <sz val="11"/>
        <rFont val="Arial"/>
        <family val="0"/>
        <charset val="1"/>
      </rPr>
      <t xml:space="preserve">+</t>
    </r>
    <r>
      <rPr>
        <sz val="11"/>
        <rFont val="WenQuanYi Zen Hei"/>
        <family val="2"/>
      </rPr>
      <t xml:space="preserve">缺勤共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次 </t>
    </r>
    <r>
      <rPr>
        <sz val="11"/>
        <rFont val="Arial"/>
        <family val="0"/>
        <charset val="1"/>
      </rPr>
      <t xml:space="preserve">RM40</t>
    </r>
    <r>
      <rPr>
        <sz val="11"/>
        <rFont val="WenQuanYi Zen Hei"/>
        <family val="2"/>
      </rPr>
      <t xml:space="preserve">；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次以上 </t>
    </r>
    <r>
      <rPr>
        <sz val="11"/>
        <rFont val="Arial"/>
        <family val="0"/>
        <charset val="1"/>
      </rPr>
      <t xml:space="preserve">RM0</t>
    </r>
    <r>
      <rPr>
        <sz val="11"/>
        <rFont val="WenQuanYi Zen Hei"/>
        <family val="2"/>
      </rPr>
      <t xml:space="preserve">。</t>
    </r>
  </si>
  <si>
    <r>
      <rPr>
        <sz val="11"/>
        <rFont val="WenQuanYi Zen Hei"/>
        <family val="2"/>
      </rPr>
      <t xml:space="preserve">② 效率奖（按生产线）：达成率 </t>
    </r>
    <r>
      <rPr>
        <sz val="11"/>
        <rFont val="Arial"/>
        <family val="0"/>
        <charset val="1"/>
      </rPr>
      <t xml:space="preserve">= </t>
    </r>
    <r>
      <rPr>
        <sz val="11"/>
        <rFont val="WenQuanYi Zen Hei"/>
        <family val="2"/>
      </rPr>
      <t xml:space="preserve">实际产量 </t>
    </r>
    <r>
      <rPr>
        <sz val="11"/>
        <rFont val="Arial"/>
        <family val="0"/>
        <charset val="1"/>
      </rPr>
      <t xml:space="preserve">÷ </t>
    </r>
    <r>
      <rPr>
        <sz val="11"/>
        <rFont val="WenQuanYi Zen Hei"/>
        <family val="2"/>
      </rPr>
      <t xml:space="preserve">标准产量。≥</t>
    </r>
    <r>
      <rPr>
        <sz val="11"/>
        <rFont val="Arial"/>
        <family val="0"/>
        <charset val="1"/>
      </rPr>
      <t xml:space="preserve">100% RM80</t>
    </r>
    <r>
      <rPr>
        <sz val="11"/>
        <rFont val="WenQuanYi Zen Hei"/>
        <family val="2"/>
      </rPr>
      <t xml:space="preserve">，≥</t>
    </r>
    <r>
      <rPr>
        <sz val="11"/>
        <rFont val="Arial"/>
        <family val="0"/>
        <charset val="1"/>
      </rPr>
      <t xml:space="preserve">110% RM120</t>
    </r>
    <r>
      <rPr>
        <sz val="11"/>
        <rFont val="WenQuanYi Zen Hei"/>
        <family val="2"/>
      </rPr>
      <t xml:space="preserve">，≥</t>
    </r>
    <r>
      <rPr>
        <sz val="11"/>
        <rFont val="Arial"/>
        <family val="0"/>
        <charset val="1"/>
      </rPr>
      <t xml:space="preserve">120% RM160</t>
    </r>
    <r>
      <rPr>
        <sz val="11"/>
        <rFont val="WenQuanYi Zen Hei"/>
        <family val="2"/>
      </rPr>
      <t xml:space="preserve">。</t>
    </r>
  </si>
  <si>
    <r>
      <rPr>
        <sz val="11"/>
        <rFont val="WenQuanYi Zen Hei"/>
        <family val="2"/>
      </rPr>
      <t xml:space="preserve">    标准产量 </t>
    </r>
    <r>
      <rPr>
        <sz val="11"/>
        <rFont val="Arial"/>
        <family val="0"/>
        <charset val="1"/>
      </rPr>
      <t xml:space="preserve">= </t>
    </r>
    <r>
      <rPr>
        <sz val="11"/>
        <rFont val="WenQuanYi Zen Hei"/>
        <family val="2"/>
      </rPr>
      <t xml:space="preserve">有效人时 </t>
    </r>
    <r>
      <rPr>
        <sz val="11"/>
        <rFont val="Arial"/>
        <family val="0"/>
        <charset val="1"/>
      </rPr>
      <t xml:space="preserve">× </t>
    </r>
    <r>
      <rPr>
        <sz val="11"/>
        <rFont val="WenQuanYi Zen Hei"/>
        <family val="2"/>
      </rPr>
      <t xml:space="preserve">该产品标准 </t>
    </r>
    <r>
      <rPr>
        <sz val="11"/>
        <rFont val="Arial"/>
        <family val="0"/>
        <charset val="1"/>
      </rPr>
      <t xml:space="preserve">kg/</t>
    </r>
    <r>
      <rPr>
        <sz val="11"/>
        <rFont val="WenQuanYi Zen Hei"/>
        <family val="2"/>
      </rPr>
      <t xml:space="preserve">人</t>
    </r>
    <r>
      <rPr>
        <sz val="11"/>
        <rFont val="Arial"/>
        <family val="0"/>
        <charset val="1"/>
      </rPr>
      <t xml:space="preserve">/</t>
    </r>
    <r>
      <rPr>
        <sz val="11"/>
        <rFont val="WenQuanYi Zen Hei"/>
        <family val="2"/>
      </rPr>
      <t xml:space="preserve">小时。没单、机器坏、等原料的停工时间不算，员工才觉得公平。</t>
    </r>
  </si>
  <si>
    <r>
      <rPr>
        <sz val="11"/>
        <rFont val="WenQuanYi Zen Hei"/>
        <family val="2"/>
      </rPr>
      <t xml:space="preserve">③ 控重奖（按生产线）：超重率 </t>
    </r>
    <r>
      <rPr>
        <sz val="11"/>
        <rFont val="Arial"/>
        <family val="0"/>
        <charset val="1"/>
      </rPr>
      <t xml:space="preserve">= </t>
    </r>
    <r>
      <rPr>
        <sz val="11"/>
        <rFont val="WenQuanYi Zen Hei"/>
        <family val="2"/>
      </rPr>
      <t xml:space="preserve">抽检平均重量比标示重量多出的 </t>
    </r>
    <r>
      <rPr>
        <sz val="11"/>
        <rFont val="Arial"/>
        <family val="0"/>
        <charset val="1"/>
      </rPr>
      <t xml:space="preserve">%</t>
    </r>
    <r>
      <rPr>
        <sz val="11"/>
        <rFont val="WenQuanYi Zen Hei"/>
        <family val="2"/>
      </rPr>
      <t xml:space="preserve">。≤</t>
    </r>
    <r>
      <rPr>
        <sz val="11"/>
        <rFont val="Arial"/>
        <family val="0"/>
        <charset val="1"/>
      </rPr>
      <t xml:space="preserve">1.5% RM100</t>
    </r>
    <r>
      <rPr>
        <sz val="11"/>
        <rFont val="WenQuanYi Zen Hei"/>
        <family val="2"/>
      </rPr>
      <t xml:space="preserve">，≤</t>
    </r>
    <r>
      <rPr>
        <sz val="11"/>
        <rFont val="Arial"/>
        <family val="0"/>
        <charset val="1"/>
      </rPr>
      <t xml:space="preserve">3% RM50</t>
    </r>
    <r>
      <rPr>
        <sz val="11"/>
        <rFont val="WenQuanYi Zen Hei"/>
        <family val="2"/>
      </rPr>
      <t xml:space="preserve">，</t>
    </r>
    <r>
      <rPr>
        <sz val="11"/>
        <rFont val="Arial"/>
        <family val="0"/>
        <charset val="1"/>
      </rPr>
      <t xml:space="preserve">&gt;3% RM0</t>
    </r>
    <r>
      <rPr>
        <sz val="11"/>
        <rFont val="WenQuanYi Zen Hei"/>
        <family val="2"/>
      </rPr>
      <t xml:space="preserve">。</t>
    </r>
  </si>
  <si>
    <r>
      <rPr>
        <sz val="11"/>
        <rFont val="WenQuanYi Zen Hei"/>
        <family val="2"/>
      </rPr>
      <t xml:space="preserve">    平均重量低于标示重量 </t>
    </r>
    <r>
      <rPr>
        <sz val="11"/>
        <rFont val="Arial"/>
        <family val="0"/>
        <charset val="1"/>
      </rPr>
      <t xml:space="preserve">= </t>
    </r>
    <r>
      <rPr>
        <sz val="11"/>
        <rFont val="WenQuanYi Zen Hei"/>
        <family val="2"/>
      </rPr>
      <t xml:space="preserve">违法风险（</t>
    </r>
    <r>
      <rPr>
        <sz val="11"/>
        <rFont val="Arial"/>
        <family val="0"/>
        <charset val="1"/>
      </rPr>
      <t xml:space="preserve">Weights and Measures Act</t>
    </r>
    <r>
      <rPr>
        <sz val="11"/>
        <rFont val="WenQuanYi Zen Hei"/>
        <family val="2"/>
      </rPr>
      <t xml:space="preserve">），算一次品质事件，控重奖 </t>
    </r>
    <r>
      <rPr>
        <sz val="11"/>
        <rFont val="Arial"/>
        <family val="0"/>
        <charset val="1"/>
      </rPr>
      <t xml:space="preserve">RM0</t>
    </r>
    <r>
      <rPr>
        <sz val="11"/>
        <rFont val="WenQuanYi Zen Hei"/>
        <family val="2"/>
      </rPr>
      <t xml:space="preserve">。</t>
    </r>
  </si>
  <si>
    <r>
      <rPr>
        <sz val="11"/>
        <rFont val="WenQuanYi Zen Hei"/>
        <family val="2"/>
      </rPr>
      <t xml:space="preserve">④ 品质开关：②</t>
    </r>
    <r>
      <rPr>
        <sz val="11"/>
        <rFont val="Arial"/>
        <family val="0"/>
        <charset val="1"/>
      </rPr>
      <t xml:space="preserve">+③ </t>
    </r>
    <r>
      <rPr>
        <sz val="11"/>
        <rFont val="WenQuanYi Zen Hei"/>
        <family val="2"/>
      </rPr>
      <t xml:space="preserve">乘以品质倍数。</t>
    </r>
    <r>
      <rPr>
        <sz val="11"/>
        <rFont val="Arial"/>
        <family val="0"/>
        <charset val="1"/>
      </rPr>
      <t xml:space="preserve">0 </t>
    </r>
    <r>
      <rPr>
        <sz val="11"/>
        <rFont val="WenQuanYi Zen Hei"/>
        <family val="2"/>
      </rPr>
      <t xml:space="preserve">次事件 </t>
    </r>
    <r>
      <rPr>
        <sz val="11"/>
        <rFont val="Arial"/>
        <family val="0"/>
        <charset val="1"/>
      </rPr>
      <t xml:space="preserve">×100%</t>
    </r>
    <r>
      <rPr>
        <sz val="11"/>
        <rFont val="WenQuanYi Zen Hei"/>
        <family val="2"/>
      </rPr>
      <t xml:space="preserve">，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次 </t>
    </r>
    <r>
      <rPr>
        <sz val="11"/>
        <rFont val="Arial"/>
        <family val="0"/>
        <charset val="1"/>
      </rPr>
      <t xml:space="preserve">×50%</t>
    </r>
    <r>
      <rPr>
        <sz val="11"/>
        <rFont val="WenQuanYi Zen Hei"/>
        <family val="2"/>
      </rPr>
      <t xml:space="preserve">，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次以上或任何严重事件（客诉</t>
    </r>
    <r>
      <rPr>
        <sz val="11"/>
        <rFont val="Arial"/>
        <family val="0"/>
        <charset val="1"/>
      </rPr>
      <t xml:space="preserve">/</t>
    </r>
    <r>
      <rPr>
        <sz val="11"/>
        <rFont val="WenQuanYi Zen Hei"/>
        <family val="2"/>
      </rPr>
      <t xml:space="preserve">异物</t>
    </r>
    <r>
      <rPr>
        <sz val="11"/>
        <rFont val="Arial"/>
        <family val="0"/>
        <charset val="1"/>
      </rPr>
      <t xml:space="preserve">/</t>
    </r>
    <r>
      <rPr>
        <sz val="11"/>
        <rFont val="WenQuanYi Zen Hei"/>
        <family val="2"/>
      </rPr>
      <t xml:space="preserve">食安）</t>
    </r>
    <r>
      <rPr>
        <sz val="11"/>
        <rFont val="Arial"/>
        <family val="0"/>
        <charset val="1"/>
      </rPr>
      <t xml:space="preserve">×0</t>
    </r>
    <r>
      <rPr>
        <sz val="11"/>
        <rFont val="WenQuanYi Zen Hei"/>
        <family val="2"/>
      </rPr>
      <t xml:space="preserve">。</t>
    </r>
  </si>
  <si>
    <r>
      <rPr>
        <b val="true"/>
        <sz val="11"/>
        <rFont val="WenQuanYi Zen Hei"/>
        <family val="2"/>
      </rPr>
      <t xml:space="preserve">每月每人最高 </t>
    </r>
    <r>
      <rPr>
        <b val="true"/>
        <sz val="11"/>
        <rFont val="Arial"/>
        <family val="0"/>
        <charset val="1"/>
      </rPr>
      <t xml:space="preserve">RM340</t>
    </r>
    <r>
      <rPr>
        <b val="true"/>
        <sz val="11"/>
        <rFont val="WenQuanYi Zen Hei"/>
        <family val="2"/>
      </rPr>
      <t xml:space="preserve">；</t>
    </r>
    <r>
      <rPr>
        <b val="true"/>
        <sz val="11"/>
        <rFont val="Arial"/>
        <family val="0"/>
        <charset val="1"/>
      </rPr>
      <t xml:space="preserve">8 </t>
    </r>
    <r>
      <rPr>
        <b val="true"/>
        <sz val="11"/>
        <rFont val="WenQuanYi Zen Hei"/>
        <family val="2"/>
      </rPr>
      <t xml:space="preserve">人最高约 </t>
    </r>
    <r>
      <rPr>
        <b val="true"/>
        <sz val="11"/>
        <rFont val="Arial"/>
        <family val="0"/>
        <charset val="1"/>
      </rPr>
      <t xml:space="preserve">RM2,720/</t>
    </r>
    <r>
      <rPr>
        <b val="true"/>
        <sz val="11"/>
        <rFont val="WenQuanYi Zen Hei"/>
        <family val="2"/>
      </rPr>
      <t xml:space="preserve">月。</t>
    </r>
  </si>
  <si>
    <t xml:space="preserve">颜色说明</t>
  </si>
  <si>
    <r>
      <rPr>
        <sz val="11"/>
        <rFont val="WenQuanYi Zen Hei"/>
        <family val="2"/>
      </rPr>
      <t xml:space="preserve">黄色底 </t>
    </r>
    <r>
      <rPr>
        <sz val="11"/>
        <rFont val="Arial"/>
        <family val="0"/>
        <charset val="1"/>
      </rPr>
      <t xml:space="preserve">= </t>
    </r>
    <r>
      <rPr>
        <sz val="11"/>
        <rFont val="WenQuanYi Zen Hei"/>
        <family val="2"/>
      </rPr>
      <t xml:space="preserve">要填的格子；蓝色字 </t>
    </r>
    <r>
      <rPr>
        <sz val="11"/>
        <rFont val="Arial"/>
        <family val="0"/>
        <charset val="1"/>
      </rPr>
      <t xml:space="preserve">= </t>
    </r>
    <r>
      <rPr>
        <sz val="11"/>
        <rFont val="WenQuanYi Zen Hei"/>
        <family val="2"/>
      </rPr>
      <t xml:space="preserve">假设</t>
    </r>
    <r>
      <rPr>
        <sz val="11"/>
        <rFont val="Arial"/>
        <family val="0"/>
        <charset val="1"/>
      </rPr>
      <t xml:space="preserve">/</t>
    </r>
    <r>
      <rPr>
        <sz val="11"/>
        <rFont val="WenQuanYi Zen Hei"/>
        <family val="2"/>
      </rPr>
      <t xml:space="preserve">目标，可改；黑色字 </t>
    </r>
    <r>
      <rPr>
        <sz val="11"/>
        <rFont val="Arial"/>
        <family val="0"/>
        <charset val="1"/>
      </rPr>
      <t xml:space="preserve">= </t>
    </r>
    <r>
      <rPr>
        <sz val="11"/>
        <rFont val="WenQuanYi Zen Hei"/>
        <family val="2"/>
      </rPr>
      <t xml:space="preserve">公式。</t>
    </r>
  </si>
  <si>
    <r>
      <rPr>
        <b val="true"/>
        <sz val="11"/>
        <color rgb="FFC00000"/>
        <rFont val="WenQuanYi Zen Hei"/>
        <family val="2"/>
      </rPr>
      <t xml:space="preserve">【设定】里的产品和标准产量是示例数字，请先用过去 </t>
    </r>
    <r>
      <rPr>
        <b val="true"/>
        <sz val="11"/>
        <color rgb="FFC00000"/>
        <rFont val="Arial"/>
        <family val="0"/>
        <charset val="1"/>
      </rPr>
      <t xml:space="preserve">1–3 </t>
    </r>
    <r>
      <rPr>
        <b val="true"/>
        <sz val="11"/>
        <color rgb="FFC00000"/>
        <rFont val="WenQuanYi Zen Hei"/>
        <family val="2"/>
      </rPr>
      <t xml:space="preserve">个月的实际平均值替换，再试跑 </t>
    </r>
    <r>
      <rPr>
        <b val="true"/>
        <sz val="11"/>
        <color rgb="FFC00000"/>
        <rFont val="Arial"/>
        <family val="0"/>
        <charset val="1"/>
      </rPr>
      <t xml:space="preserve">1 </t>
    </r>
    <r>
      <rPr>
        <b val="true"/>
        <sz val="11"/>
        <color rgb="FFC00000"/>
        <rFont val="WenQuanYi Zen Hei"/>
        <family val="2"/>
      </rPr>
      <t xml:space="preserve">个月不发钱，确认基准合理后才正式实行。</t>
    </r>
  </si>
  <si>
    <t xml:space="preserve">设定（蓝色数字可改）</t>
  </si>
  <si>
    <t xml:space="preserve">产品标准</t>
  </si>
  <si>
    <t xml:space="preserve">效率奖（按线）</t>
  </si>
  <si>
    <t xml:space="preserve">产品</t>
  </si>
  <si>
    <r>
      <rPr>
        <b val="true"/>
        <sz val="11"/>
        <color rgb="FFFFFFFF"/>
        <rFont val="WenQuanYi Zen Hei"/>
        <family val="2"/>
      </rPr>
      <t xml:space="preserve">每包标示重量 </t>
    </r>
    <r>
      <rPr>
        <b val="true"/>
        <sz val="11"/>
        <color rgb="FFFFFFFF"/>
        <rFont val="Arial"/>
        <family val="0"/>
        <charset val="1"/>
      </rPr>
      <t xml:space="preserve">(g)</t>
    </r>
  </si>
  <si>
    <r>
      <rPr>
        <b val="true"/>
        <sz val="11"/>
        <color rgb="FFFFFFFF"/>
        <rFont val="WenQuanYi Zen Hei"/>
        <family val="2"/>
      </rPr>
      <t xml:space="preserve">标准产量 </t>
    </r>
    <r>
      <rPr>
        <b val="true"/>
        <sz val="11"/>
        <color rgb="FFFFFFFF"/>
        <rFont val="Arial"/>
        <family val="0"/>
        <charset val="1"/>
      </rPr>
      <t xml:space="preserve">(kg/</t>
    </r>
    <r>
      <rPr>
        <b val="true"/>
        <sz val="11"/>
        <color rgb="FFFFFFFF"/>
        <rFont val="WenQuanYi Zen Hei"/>
        <family val="2"/>
      </rPr>
      <t xml:space="preserve">人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WenQuanYi Zen Hei"/>
        <family val="2"/>
      </rPr>
      <t xml:space="preserve">小时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</si>
  <si>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达成率 ≥</t>
  </si>
  <si>
    <r>
      <rPr>
        <b val="true"/>
        <sz val="11"/>
        <color rgb="FFFFFFFF"/>
        <rFont val="WenQuanYi Zen Hei"/>
        <family val="2"/>
      </rPr>
      <t xml:space="preserve">奖金 </t>
    </r>
    <r>
      <rPr>
        <b val="true"/>
        <sz val="11"/>
        <color rgb="FFFFFFFF"/>
        <rFont val="Arial"/>
        <family val="0"/>
        <charset val="1"/>
      </rPr>
      <t xml:space="preserve">RM/</t>
    </r>
    <r>
      <rPr>
        <b val="true"/>
        <sz val="11"/>
        <color rgb="FFFFFFFF"/>
        <rFont val="WenQuanYi Zen Hei"/>
        <family val="2"/>
      </rPr>
      <t xml:space="preserve">人</t>
    </r>
  </si>
  <si>
    <t xml:space="preserve">水饺</t>
  </si>
  <si>
    <t xml:space="preserve">春卷</t>
  </si>
  <si>
    <t xml:space="preserve">烧卖</t>
  </si>
  <si>
    <t xml:space="preserve">控重奖（按线）</t>
  </si>
  <si>
    <t xml:space="preserve">超重率 ≤</t>
  </si>
  <si>
    <t xml:space="preserve">出勤奖（个人）</t>
  </si>
  <si>
    <r>
      <rPr>
        <b val="true"/>
        <sz val="11"/>
        <color rgb="FFFFFFFF"/>
        <rFont val="WenQuanYi Zen Hei"/>
        <family val="2"/>
      </rPr>
      <t xml:space="preserve">迟到</t>
    </r>
    <r>
      <rPr>
        <b val="true"/>
        <sz val="11"/>
        <color rgb="FFFFFFFF"/>
        <rFont val="Arial"/>
        <family val="0"/>
        <charset val="1"/>
      </rPr>
      <t xml:space="preserve">+</t>
    </r>
    <r>
      <rPr>
        <b val="true"/>
        <sz val="11"/>
        <color rgb="FFFFFFFF"/>
        <rFont val="WenQuanYi Zen Hei"/>
        <family val="2"/>
      </rPr>
      <t xml:space="preserve">缺勤次数</t>
    </r>
  </si>
  <si>
    <r>
      <rPr>
        <b val="true"/>
        <sz val="11"/>
        <color rgb="FFFFFFFF"/>
        <rFont val="WenQuanYi Zen Hei"/>
        <family val="2"/>
      </rPr>
      <t xml:space="preserve">奖金 </t>
    </r>
    <r>
      <rPr>
        <b val="true"/>
        <sz val="11"/>
        <color rgb="FFFFFFFF"/>
        <rFont val="Arial"/>
        <family val="0"/>
        <charset val="1"/>
      </rPr>
      <t xml:space="preserve">RM</t>
    </r>
  </si>
  <si>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WenQuanYi Zen Hei"/>
        <family val="2"/>
      </rPr>
      <t xml:space="preserve">次</t>
    </r>
  </si>
  <si>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WenQuanYi Zen Hei"/>
        <family val="2"/>
      </rPr>
      <t xml:space="preserve">次</t>
    </r>
  </si>
  <si>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WenQuanYi Zen Hei"/>
        <family val="2"/>
      </rPr>
      <t xml:space="preserve">次以上</t>
    </r>
  </si>
  <si>
    <t xml:space="preserve">品质倍数</t>
  </si>
  <si>
    <t xml:space="preserve">品质事件</t>
  </si>
  <si>
    <t xml:space="preserve">倍数</t>
  </si>
  <si>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WenQuanYi Zen Hei"/>
        <family val="2"/>
      </rPr>
      <t xml:space="preserve">次以上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WenQuanYi Zen Hei"/>
        <family val="2"/>
      </rPr>
      <t xml:space="preserve">严重</t>
    </r>
  </si>
  <si>
    <r>
      <rPr>
        <i val="true"/>
        <sz val="11"/>
        <color rgb="FF808080"/>
        <rFont val="WenQuanYi Zen Hei"/>
        <family val="2"/>
      </rPr>
      <t xml:space="preserve">金额为建议值（假设 </t>
    </r>
    <r>
      <rPr>
        <i val="true"/>
        <sz val="11"/>
        <color rgb="FF808080"/>
        <rFont val="Arial"/>
        <family val="0"/>
        <charset val="1"/>
      </rPr>
      <t xml:space="preserve">8 </t>
    </r>
    <r>
      <rPr>
        <i val="true"/>
        <sz val="11"/>
        <color rgb="FF808080"/>
        <rFont val="WenQuanYi Zen Hei"/>
        <family val="2"/>
      </rPr>
      <t xml:space="preserve">人、底薪约 </t>
    </r>
    <r>
      <rPr>
        <i val="true"/>
        <sz val="11"/>
        <color rgb="FF808080"/>
        <rFont val="Arial"/>
        <family val="0"/>
        <charset val="1"/>
      </rPr>
      <t xml:space="preserve">RM1,700</t>
    </r>
    <r>
      <rPr>
        <i val="true"/>
        <sz val="11"/>
        <color rgb="FF808080"/>
        <rFont val="WenQuanYi Zen Hei"/>
        <family val="2"/>
      </rPr>
      <t xml:space="preserve">），可按预算调整。</t>
    </r>
  </si>
  <si>
    <t xml:space="preserve">日期</t>
  </si>
  <si>
    <t xml:space="preserve">生产线</t>
  </si>
  <si>
    <t xml:space="preserve">人数</t>
  </si>
  <si>
    <t xml:space="preserve">工作小时</t>
  </si>
  <si>
    <r>
      <rPr>
        <b val="true"/>
        <sz val="11"/>
        <color rgb="FFFFFFFF"/>
        <rFont val="WenQuanYi Zen Hei"/>
        <family val="2"/>
      </rPr>
      <t xml:space="preserve">停工小时
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没单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WenQuanYi Zen Hei"/>
        <family val="2"/>
      </rPr>
      <t xml:space="preserve">机坏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WenQuanYi Zen Hei"/>
        <family val="2"/>
      </rPr>
      <t xml:space="preserve">等料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</si>
  <si>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成品包数</t>
  </si>
  <si>
    <r>
      <rPr>
        <b val="true"/>
        <sz val="11"/>
        <color rgb="FFFFFFFF"/>
        <rFont val="WenQuanYi Zen Hei"/>
        <family val="2"/>
      </rPr>
      <t xml:space="preserve">抽检平均重量 </t>
    </r>
    <r>
      <rPr>
        <b val="true"/>
        <sz val="11"/>
        <color rgb="FFFFFFFF"/>
        <rFont val="Arial"/>
        <family val="0"/>
        <charset val="1"/>
      </rPr>
      <t xml:space="preserve">(g)
(</t>
    </r>
    <r>
      <rPr>
        <b val="true"/>
        <sz val="11"/>
        <color rgb="FFFFFFFF"/>
        <rFont val="WenQuanYi Zen Hei"/>
        <family val="2"/>
      </rPr>
      <t xml:space="preserve">每线每天抽</t>
    </r>
    <r>
      <rPr>
        <b val="true"/>
        <sz val="11"/>
        <color rgb="FFFFFFFF"/>
        <rFont val="Arial"/>
        <family val="0"/>
        <charset val="1"/>
      </rPr>
      <t xml:space="preserve">10</t>
    </r>
    <r>
      <rPr>
        <b val="true"/>
        <sz val="11"/>
        <color rgb="FFFFFFFF"/>
        <rFont val="WenQuanYi Zen Hei"/>
        <family val="2"/>
      </rPr>
      <t xml:space="preserve">包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</si>
  <si>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有效人时</t>
  </si>
  <si>
    <r>
      <rPr>
        <b val="true"/>
        <sz val="11"/>
        <color rgb="FFFFFFFF"/>
        <rFont val="WenQuanYi Zen Hei"/>
        <family val="2"/>
      </rPr>
      <t xml:space="preserve">标示重量 </t>
    </r>
    <r>
      <rPr>
        <b val="true"/>
        <sz val="11"/>
        <color rgb="FFFFFFFF"/>
        <rFont val="Arial"/>
        <family val="0"/>
        <charset val="1"/>
      </rPr>
      <t xml:space="preserve">(g)</t>
    </r>
  </si>
  <si>
    <r>
      <rPr>
        <b val="true"/>
        <sz val="11"/>
        <color rgb="FFFFFFFF"/>
        <rFont val="WenQuanYi Zen Hei"/>
        <family val="2"/>
      </rPr>
      <t xml:space="preserve">实际产量 </t>
    </r>
    <r>
      <rPr>
        <b val="true"/>
        <sz val="11"/>
        <color rgb="FFFFFFFF"/>
        <rFont val="Arial"/>
        <family val="0"/>
        <charset val="1"/>
      </rPr>
      <t xml:space="preserve">(kg)</t>
    </r>
  </si>
  <si>
    <r>
      <rPr>
        <b val="true"/>
        <sz val="11"/>
        <color rgb="FFFFFFFF"/>
        <rFont val="WenQuanYi Zen Hei"/>
        <family val="2"/>
      </rPr>
      <t xml:space="preserve">标准产量 </t>
    </r>
    <r>
      <rPr>
        <b val="true"/>
        <sz val="11"/>
        <color rgb="FFFFFFFF"/>
        <rFont val="Arial"/>
        <family val="0"/>
        <charset val="1"/>
      </rPr>
      <t xml:space="preserve">(kg)</t>
    </r>
  </si>
  <si>
    <t xml:space="preserve">达成率</t>
  </si>
  <si>
    <t xml:space="preserve">超重率</t>
  </si>
  <si>
    <t xml:space="preserve">低重警告</t>
  </si>
  <si>
    <t xml:space="preserve">超重总克</t>
  </si>
  <si>
    <t xml:space="preserve">标示总克</t>
  </si>
  <si>
    <t xml:space="preserve">低重次数</t>
  </si>
  <si>
    <t xml:space="preserve">Line 1</t>
  </si>
  <si>
    <t xml:space="preserve">Line 2</t>
  </si>
  <si>
    <t xml:space="preserve">Line 3</t>
  </si>
  <si>
    <t xml:space="preserve">月度结算</t>
  </si>
  <si>
    <r>
      <rPr>
        <b val="true"/>
        <sz val="11"/>
        <rFont val="WenQuanYi Zen Hei"/>
        <family val="2"/>
      </rPr>
      <t xml:space="preserve">结算月份（填该月 </t>
    </r>
    <r>
      <rPr>
        <b val="true"/>
        <sz val="11"/>
        <rFont val="Arial"/>
        <family val="0"/>
        <charset val="1"/>
      </rPr>
      <t xml:space="preserve">1 </t>
    </r>
    <r>
      <rPr>
        <b val="true"/>
        <sz val="11"/>
        <rFont val="WenQuanYi Zen Hei"/>
        <family val="2"/>
      </rPr>
      <t xml:space="preserve">号）</t>
    </r>
  </si>
  <si>
    <t xml:space="preserve">月底日期</t>
  </si>
  <si>
    <r>
      <rPr>
        <b val="true"/>
        <sz val="11"/>
        <rFont val="Arial"/>
        <family val="0"/>
        <charset val="1"/>
      </rPr>
      <t xml:space="preserve">A. </t>
    </r>
    <r>
      <rPr>
        <b val="true"/>
        <sz val="11"/>
        <rFont val="WenQuanYi Zen Hei"/>
        <family val="2"/>
      </rPr>
      <t xml:space="preserve">每条线成绩</t>
    </r>
  </si>
  <si>
    <r>
      <rPr>
        <b val="true"/>
        <sz val="11"/>
        <color rgb="FFFFFFFF"/>
        <rFont val="WenQuanYi Zen Hei"/>
        <family val="2"/>
      </rPr>
      <t xml:space="preserve">轻微品质事件
</t>
    </r>
    <r>
      <rPr>
        <b val="true"/>
        <sz val="11"/>
        <color rgb="FFFFFFFF"/>
        <rFont val="Arial"/>
        <family val="0"/>
        <charset val="1"/>
      </rPr>
      <t xml:space="preserve">(QC</t>
    </r>
    <r>
      <rPr>
        <b val="true"/>
        <sz val="11"/>
        <color rgb="FFFFFFFF"/>
        <rFont val="WenQuanYi Zen Hei"/>
        <family val="2"/>
      </rPr>
      <t xml:space="preserve">退货</t>
    </r>
    <r>
      <rPr>
        <b val="true"/>
        <sz val="11"/>
        <color rgb="FFFFFFFF"/>
        <rFont val="Arial"/>
        <family val="0"/>
        <charset val="1"/>
      </rPr>
      <t xml:space="preserve">/GMP</t>
    </r>
    <r>
      <rPr>
        <b val="true"/>
        <sz val="11"/>
        <color rgb="FFFFFFFF"/>
        <rFont val="WenQuanYi Zen Hei"/>
        <family val="2"/>
      </rPr>
      <t xml:space="preserve">违规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</si>
  <si>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严重事件
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客诉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WenQuanYi Zen Hei"/>
        <family val="2"/>
      </rPr>
      <t xml:space="preserve">异物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WenQuanYi Zen Hei"/>
        <family val="2"/>
      </rPr>
      <t xml:space="preserve">食安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</si>
  <si>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效率奖 </t>
    </r>
    <r>
      <rPr>
        <b val="true"/>
        <sz val="11"/>
        <color rgb="FFFFFFFF"/>
        <rFont val="Arial"/>
        <family val="0"/>
        <charset val="1"/>
      </rPr>
      <t xml:space="preserve">RM</t>
    </r>
  </si>
  <si>
    <r>
      <rPr>
        <b val="true"/>
        <sz val="11"/>
        <color rgb="FFFFFFFF"/>
        <rFont val="WenQuanYi Zen Hei"/>
        <family val="2"/>
      </rPr>
      <t xml:space="preserve">控重奖 </t>
    </r>
    <r>
      <rPr>
        <b val="true"/>
        <sz val="11"/>
        <color rgb="FFFFFFFF"/>
        <rFont val="Arial"/>
        <family val="0"/>
        <charset val="1"/>
      </rPr>
      <t xml:space="preserve">RM</t>
    </r>
  </si>
  <si>
    <r>
      <rPr>
        <i val="true"/>
        <sz val="11"/>
        <color rgb="FF808080"/>
        <rFont val="WenQuanYi Zen Hei"/>
        <family val="2"/>
      </rPr>
      <t xml:space="preserve">低重次数会自动算进品质事件；只要有低重，控重奖为 </t>
    </r>
    <r>
      <rPr>
        <i val="true"/>
        <sz val="11"/>
        <color rgb="FF808080"/>
        <rFont val="Arial"/>
        <family val="0"/>
        <charset val="1"/>
      </rPr>
      <t xml:space="preserve">0</t>
    </r>
    <r>
      <rPr>
        <i val="true"/>
        <sz val="11"/>
        <color rgb="FF808080"/>
        <rFont val="WenQuanYi Zen Hei"/>
        <family val="2"/>
      </rPr>
      <t xml:space="preserve">。</t>
    </r>
  </si>
  <si>
    <r>
      <rPr>
        <b val="true"/>
        <sz val="11"/>
        <rFont val="Arial"/>
        <family val="0"/>
        <charset val="1"/>
      </rPr>
      <t xml:space="preserve">B. </t>
    </r>
    <r>
      <rPr>
        <b val="true"/>
        <sz val="11"/>
        <rFont val="WenQuanYi Zen Hei"/>
        <family val="2"/>
      </rPr>
      <t xml:space="preserve">每人奖金</t>
    </r>
  </si>
  <si>
    <t xml:space="preserve">姓名</t>
  </si>
  <si>
    <t xml:space="preserve">迟到次数</t>
  </si>
  <si>
    <r>
      <rPr>
        <b val="true"/>
        <sz val="11"/>
        <color rgb="FFFFFFFF"/>
        <rFont val="WenQuanYi Zen Hei"/>
        <family val="2"/>
      </rPr>
      <t xml:space="preserve">缺勤天数
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无</t>
    </r>
    <r>
      <rPr>
        <b val="true"/>
        <sz val="11"/>
        <color rgb="FFFFFFFF"/>
        <rFont val="Arial"/>
        <family val="0"/>
        <charset val="1"/>
      </rPr>
      <t xml:space="preserve">MC)</t>
    </r>
  </si>
  <si>
    <r>
      <rPr>
        <b val="true"/>
        <sz val="11"/>
        <color rgb="FFFFFFFF"/>
        <rFont val="WenQuanYi Zen Hei"/>
        <family val="2"/>
      </rPr>
      <t xml:space="preserve">出勤奖 </t>
    </r>
    <r>
      <rPr>
        <b val="true"/>
        <sz val="11"/>
        <color rgb="FFFFFFFF"/>
        <rFont val="Arial"/>
        <family val="0"/>
        <charset val="1"/>
      </rPr>
      <t xml:space="preserve">RM</t>
    </r>
  </si>
  <si>
    <r>
      <rPr>
        <b val="true"/>
        <sz val="11"/>
        <color rgb="FFFFFFFF"/>
        <rFont val="WenQuanYi Zen Hei"/>
        <family val="2"/>
      </rPr>
      <t xml:space="preserve">团队奖 </t>
    </r>
    <r>
      <rPr>
        <b val="true"/>
        <sz val="11"/>
        <color rgb="FFFFFFFF"/>
        <rFont val="Arial"/>
        <family val="0"/>
        <charset val="1"/>
      </rPr>
      <t xml:space="preserve">RM
(</t>
    </r>
    <r>
      <rPr>
        <b val="true"/>
        <sz val="11"/>
        <color rgb="FFFFFFFF"/>
        <rFont val="WenQuanYi Zen Hei"/>
        <family val="2"/>
      </rPr>
      <t xml:space="preserve">效率</t>
    </r>
    <r>
      <rPr>
        <b val="true"/>
        <sz val="11"/>
        <color rgb="FFFFFFFF"/>
        <rFont val="Arial"/>
        <family val="0"/>
        <charset val="1"/>
      </rPr>
      <t xml:space="preserve">+</t>
    </r>
    <r>
      <rPr>
        <b val="true"/>
        <sz val="11"/>
        <color rgb="FFFFFFFF"/>
        <rFont val="WenQuanYi Zen Hei"/>
        <family val="2"/>
      </rPr>
      <t xml:space="preserve">控重</t>
    </r>
    <r>
      <rPr>
        <b val="true"/>
        <sz val="11"/>
        <color rgb="FFFFFFFF"/>
        <rFont val="Arial"/>
        <family val="0"/>
        <charset val="1"/>
      </rPr>
      <t xml:space="preserve">)×</t>
    </r>
    <r>
      <rPr>
        <b val="true"/>
        <sz val="11"/>
        <color rgb="FFFFFFFF"/>
        <rFont val="WenQuanYi Zen Hei"/>
        <family val="2"/>
      </rPr>
      <t xml:space="preserve">倍数</t>
    </r>
  </si>
  <si>
    <r>
      <rPr>
        <b val="true"/>
        <sz val="11"/>
        <color rgb="FFFFFFFF"/>
        <rFont val="WenQuanYi Zen Hei"/>
        <family val="2"/>
      </rPr>
      <t xml:space="preserve">总奖金 </t>
    </r>
    <r>
      <rPr>
        <b val="true"/>
        <sz val="11"/>
        <color rgb="FFFFFFFF"/>
        <rFont val="Arial"/>
        <family val="0"/>
        <charset val="1"/>
      </rPr>
      <t xml:space="preserve">RM</t>
    </r>
  </si>
  <si>
    <t xml:space="preserve">Ali</t>
  </si>
  <si>
    <t xml:space="preserve">Budi</t>
  </si>
  <si>
    <t xml:space="preserve">Siti</t>
  </si>
  <si>
    <t xml:space="preserve">Ram</t>
  </si>
  <si>
    <t xml:space="preserve">Hasan</t>
  </si>
  <si>
    <t xml:space="preserve">Mei</t>
  </si>
  <si>
    <t xml:space="preserve">Nur</t>
  </si>
  <si>
    <t xml:space="preserve">Tan</t>
  </si>
  <si>
    <r>
      <rPr>
        <b val="true"/>
        <sz val="11"/>
        <rFont val="WenQuanYi Zen Hei"/>
        <family val="2"/>
      </rPr>
      <t xml:space="preserve">本月合计 </t>
    </r>
    <r>
      <rPr>
        <b val="true"/>
        <sz val="11"/>
        <rFont val="Arial"/>
        <family val="0"/>
        <charset val="1"/>
      </rPr>
      <t xml:space="preserve">RM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</si>
</sst>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0.0%"/>
    <numFmt numFmtId="167" formatCode="yyyy\-mm\-dd"/>
    <numFmt numFmtId="168" formatCode="General"/>
    <numFmt numFmtId="169" formatCode="#,##0.0"/>
    <numFmt numFmtId="170" formatCode="yyyy\-mm"/>
    <numFmt numFmtId="171" formatCode="#,##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WenQuanYi Zen Hei"/>
      <family val="2"/>
    </font>
    <font>
      <b val="true"/>
      <sz val="16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WenQuanYi Zen Hei"/>
      <family val="2"/>
    </font>
    <font>
      <b val="true"/>
      <sz val="11"/>
      <name val="Arial"/>
      <family val="0"/>
      <charset val="1"/>
    </font>
    <font>
      <sz val="11"/>
      <name val="WenQuanYi Zen Hei"/>
      <family val="2"/>
    </font>
    <font>
      <b val="true"/>
      <sz val="11"/>
      <color rgb="FFC00000"/>
      <name val="WenQuanYi Zen Hei"/>
      <family val="2"/>
    </font>
    <font>
      <b val="true"/>
      <sz val="11"/>
      <color rgb="FFC00000"/>
      <name val="Arial"/>
      <family val="0"/>
      <charset val="1"/>
    </font>
    <font>
      <b val="true"/>
      <sz val="14"/>
      <name val="WenQuanYi Zen Hei"/>
      <family val="2"/>
    </font>
    <font>
      <b val="true"/>
      <sz val="11"/>
      <color rgb="FFFFFFFF"/>
      <name val="WenQuanYi Zen Hei"/>
      <family val="2"/>
    </font>
    <font>
      <b val="true"/>
      <sz val="11"/>
      <color rgb="FFFFFFFF"/>
      <name val="Arial"/>
      <family val="0"/>
      <charset val="1"/>
    </font>
    <font>
      <sz val="11"/>
      <color rgb="FF0000FF"/>
      <name val="WenQuanYi Zen Hei"/>
      <family val="2"/>
    </font>
    <font>
      <sz val="11"/>
      <color rgb="FF0000FF"/>
      <name val="Arial"/>
      <family val="0"/>
      <charset val="1"/>
    </font>
    <font>
      <sz val="11"/>
      <color theme="1"/>
      <name val="WenQuanYi Zen Hei"/>
      <family val="2"/>
    </font>
    <font>
      <i val="true"/>
      <sz val="11"/>
      <color rgb="FF808080"/>
      <name val="WenQuanYi Zen Hei"/>
      <family val="2"/>
    </font>
    <font>
      <i val="true"/>
      <sz val="11"/>
      <color rgb="FF808080"/>
      <name val="Arial"/>
      <family val="0"/>
      <charset val="1"/>
    </font>
    <font>
      <sz val="10"/>
      <name val="WenQuanYi Zen Hei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595959"/>
        <bgColor rgb="FF1F4E78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20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4.9" hidden="false" customHeight="false" outlineLevel="0" collapsed="false">
      <c r="A3" s="3" t="s">
        <v>1</v>
      </c>
    </row>
    <row r="4" customFormat="false" ht="14.9" hidden="false" customHeight="false" outlineLevel="0" collapsed="false">
      <c r="A4" s="2" t="s">
        <v>2</v>
      </c>
    </row>
    <row r="5" customFormat="false" ht="14.9" hidden="false" customHeight="false" outlineLevel="0" collapsed="false">
      <c r="A5" s="2" t="s">
        <v>3</v>
      </c>
    </row>
    <row r="6" customFormat="false" ht="14.9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4.9" hidden="false" customHeight="false" outlineLevel="0" collapsed="false">
      <c r="A9" s="4" t="s">
        <v>6</v>
      </c>
    </row>
    <row r="10" customFormat="false" ht="14.9" hidden="false" customHeight="false" outlineLevel="0" collapsed="false">
      <c r="A10" s="4" t="s">
        <v>7</v>
      </c>
    </row>
    <row r="11" customFormat="false" ht="14.9" hidden="false" customHeight="false" outlineLevel="0" collapsed="false">
      <c r="A11" s="4" t="s">
        <v>8</v>
      </c>
    </row>
    <row r="12" customFormat="false" ht="14.9" hidden="false" customHeight="false" outlineLevel="0" collapsed="false">
      <c r="A12" s="4" t="s">
        <v>9</v>
      </c>
    </row>
    <row r="13" customFormat="false" ht="14.9" hidden="false" customHeight="false" outlineLevel="0" collapsed="false">
      <c r="A13" s="4" t="s">
        <v>10</v>
      </c>
    </row>
    <row r="14" customFormat="false" ht="14.9" hidden="false" customHeight="false" outlineLevel="0" collapsed="false">
      <c r="A14" s="4" t="s">
        <v>11</v>
      </c>
    </row>
    <row r="15" customFormat="false" ht="15" hidden="false" customHeight="false" outlineLevel="0" collapsed="false">
      <c r="A15" s="2"/>
    </row>
    <row r="16" customFormat="false" ht="14.9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13</v>
      </c>
    </row>
    <row r="19" customFormat="false" ht="14.9" hidden="false" customHeight="false" outlineLevel="0" collapsed="false">
      <c r="A19" s="4" t="s">
        <v>14</v>
      </c>
    </row>
    <row r="20" customFormat="false" ht="14.9" hidden="false" customHeight="false" outlineLevel="0" collapsed="false">
      <c r="A20" s="5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3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6" t="s">
        <v>16</v>
      </c>
    </row>
    <row r="3" customFormat="false" ht="15" hidden="false" customHeight="false" outlineLevel="0" collapsed="false">
      <c r="A3" s="3" t="s">
        <v>17</v>
      </c>
      <c r="E3" s="3" t="s">
        <v>18</v>
      </c>
    </row>
    <row r="4" customFormat="false" ht="15" hidden="false" customHeight="false" outlineLevel="0" collapsed="false">
      <c r="A4" s="7" t="s">
        <v>19</v>
      </c>
      <c r="B4" s="7" t="s">
        <v>20</v>
      </c>
      <c r="C4" s="7" t="s">
        <v>21</v>
      </c>
      <c r="E4" s="8" t="s">
        <v>22</v>
      </c>
      <c r="F4" s="8" t="s">
        <v>23</v>
      </c>
    </row>
    <row r="5" customFormat="false" ht="15" hidden="false" customHeight="false" outlineLevel="0" collapsed="false">
      <c r="A5" s="9" t="s">
        <v>24</v>
      </c>
      <c r="B5" s="9" t="n">
        <v>500</v>
      </c>
      <c r="C5" s="9" t="n">
        <v>8</v>
      </c>
      <c r="E5" s="10" t="n">
        <v>1</v>
      </c>
      <c r="F5" s="11" t="n">
        <v>80</v>
      </c>
    </row>
    <row r="6" customFormat="false" ht="15" hidden="false" customHeight="false" outlineLevel="0" collapsed="false">
      <c r="A6" s="9" t="s">
        <v>25</v>
      </c>
      <c r="B6" s="9" t="n">
        <v>600</v>
      </c>
      <c r="C6" s="9" t="n">
        <v>6</v>
      </c>
      <c r="E6" s="10" t="n">
        <v>1.1</v>
      </c>
      <c r="F6" s="11" t="n">
        <v>120</v>
      </c>
    </row>
    <row r="7" customFormat="false" ht="15" hidden="false" customHeight="false" outlineLevel="0" collapsed="false">
      <c r="A7" s="9" t="s">
        <v>26</v>
      </c>
      <c r="B7" s="9" t="n">
        <v>400</v>
      </c>
      <c r="C7" s="9" t="n">
        <v>5</v>
      </c>
      <c r="E7" s="10" t="n">
        <v>1.2</v>
      </c>
      <c r="F7" s="11" t="n">
        <v>160</v>
      </c>
    </row>
    <row r="8" customFormat="false" ht="15" hidden="false" customHeight="false" outlineLevel="0" collapsed="false">
      <c r="A8" s="9"/>
      <c r="B8" s="9"/>
      <c r="C8" s="9"/>
    </row>
    <row r="9" customFormat="false" ht="15" hidden="false" customHeight="false" outlineLevel="0" collapsed="false">
      <c r="A9" s="9"/>
      <c r="B9" s="9"/>
      <c r="C9" s="9"/>
      <c r="E9" s="3" t="s">
        <v>27</v>
      </c>
    </row>
    <row r="10" customFormat="false" ht="15" hidden="false" customHeight="false" outlineLevel="0" collapsed="false">
      <c r="A10" s="9"/>
      <c r="B10" s="9"/>
      <c r="C10" s="9"/>
      <c r="E10" s="8" t="s">
        <v>28</v>
      </c>
      <c r="F10" s="8" t="s">
        <v>23</v>
      </c>
    </row>
    <row r="11" customFormat="false" ht="15" hidden="false" customHeight="false" outlineLevel="0" collapsed="false">
      <c r="A11" s="9"/>
      <c r="B11" s="9"/>
      <c r="C11" s="9"/>
      <c r="E11" s="12" t="n">
        <v>0.015</v>
      </c>
      <c r="F11" s="11" t="n">
        <v>100</v>
      </c>
    </row>
    <row r="12" customFormat="false" ht="15" hidden="false" customHeight="false" outlineLevel="0" collapsed="false">
      <c r="A12" s="9"/>
      <c r="B12" s="9"/>
      <c r="C12" s="9"/>
      <c r="E12" s="12" t="n">
        <v>0.03</v>
      </c>
      <c r="F12" s="11" t="n">
        <v>50</v>
      </c>
    </row>
    <row r="13" customFormat="false" ht="15" hidden="false" customHeight="false" outlineLevel="0" collapsed="false">
      <c r="A13" s="9"/>
      <c r="B13" s="9"/>
      <c r="C13" s="9"/>
    </row>
    <row r="14" customFormat="false" ht="15" hidden="false" customHeight="false" outlineLevel="0" collapsed="false">
      <c r="A14" s="9"/>
      <c r="B14" s="9"/>
      <c r="C14" s="9"/>
      <c r="E14" s="3" t="s">
        <v>29</v>
      </c>
    </row>
    <row r="15" customFormat="false" ht="15" hidden="false" customHeight="false" outlineLevel="0" collapsed="false">
      <c r="E15" s="8" t="s">
        <v>30</v>
      </c>
      <c r="F15" s="8" t="s">
        <v>31</v>
      </c>
    </row>
    <row r="16" customFormat="false" ht="15" hidden="false" customHeight="false" outlineLevel="0" collapsed="false">
      <c r="E16" s="13" t="s">
        <v>32</v>
      </c>
      <c r="F16" s="11" t="n">
        <v>80</v>
      </c>
    </row>
    <row r="17" customFormat="false" ht="15" hidden="false" customHeight="false" outlineLevel="0" collapsed="false">
      <c r="E17" s="13" t="s">
        <v>33</v>
      </c>
      <c r="F17" s="11" t="n">
        <v>40</v>
      </c>
    </row>
    <row r="18" customFormat="false" ht="15" hidden="false" customHeight="false" outlineLevel="0" collapsed="false">
      <c r="E18" s="13" t="s">
        <v>34</v>
      </c>
      <c r="F18" s="11" t="n">
        <v>0</v>
      </c>
    </row>
    <row r="20" customFormat="false" ht="15" hidden="false" customHeight="false" outlineLevel="0" collapsed="false">
      <c r="E20" s="3" t="s">
        <v>35</v>
      </c>
    </row>
    <row r="21" customFormat="false" ht="15" hidden="false" customHeight="false" outlineLevel="0" collapsed="false">
      <c r="E21" s="8" t="s">
        <v>36</v>
      </c>
      <c r="F21" s="8" t="s">
        <v>37</v>
      </c>
    </row>
    <row r="22" customFormat="false" ht="15" hidden="false" customHeight="false" outlineLevel="0" collapsed="false">
      <c r="E22" s="13" t="s">
        <v>32</v>
      </c>
      <c r="F22" s="10" t="n">
        <v>1</v>
      </c>
    </row>
    <row r="23" customFormat="false" ht="15" hidden="false" customHeight="false" outlineLevel="0" collapsed="false">
      <c r="E23" s="13" t="s">
        <v>33</v>
      </c>
      <c r="F23" s="10" t="n">
        <v>0.5</v>
      </c>
    </row>
    <row r="24" customFormat="false" ht="15" hidden="false" customHeight="false" outlineLevel="0" collapsed="false">
      <c r="E24" s="13" t="s">
        <v>38</v>
      </c>
      <c r="F24" s="10" t="n">
        <v>0</v>
      </c>
    </row>
    <row r="26" customFormat="false" ht="15" hidden="false" customHeight="false" outlineLevel="0" collapsed="false">
      <c r="E26" s="14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2" min="11" style="0" width="11"/>
    <col collapsed="false" customWidth="true" hidden="false" outlineLevel="0" max="14" min="13" style="0" width="9"/>
    <col collapsed="false" customWidth="true" hidden="false" outlineLevel="0" max="15" min="15" style="0" width="12"/>
    <col collapsed="false" customWidth="true" hidden="true" outlineLevel="0" max="17" min="16" style="0" width="10"/>
    <col collapsed="false" customWidth="true" hidden="true" outlineLevel="0" max="18" min="18" style="0" width="8"/>
  </cols>
  <sheetData>
    <row r="1" customFormat="false" ht="45" hidden="false" customHeight="true" outlineLevel="0" collapsed="false">
      <c r="A1" s="7" t="s">
        <v>40</v>
      </c>
      <c r="B1" s="7" t="s">
        <v>41</v>
      </c>
      <c r="C1" s="7" t="s">
        <v>19</v>
      </c>
      <c r="D1" s="7" t="s">
        <v>42</v>
      </c>
      <c r="E1" s="7" t="s">
        <v>43</v>
      </c>
      <c r="F1" s="7" t="s">
        <v>44</v>
      </c>
      <c r="G1" s="7" t="s">
        <v>45</v>
      </c>
      <c r="H1" s="7" t="s">
        <v>46</v>
      </c>
      <c r="I1" s="15" t="s">
        <v>47</v>
      </c>
      <c r="J1" s="15" t="s">
        <v>48</v>
      </c>
      <c r="K1" s="15" t="s">
        <v>49</v>
      </c>
      <c r="L1" s="15" t="s">
        <v>50</v>
      </c>
      <c r="M1" s="15" t="s">
        <v>51</v>
      </c>
      <c r="N1" s="15" t="s">
        <v>52</v>
      </c>
      <c r="O1" s="15" t="s">
        <v>53</v>
      </c>
      <c r="P1" s="15" t="s">
        <v>54</v>
      </c>
      <c r="Q1" s="15" t="s">
        <v>55</v>
      </c>
      <c r="R1" s="15" t="s">
        <v>56</v>
      </c>
    </row>
    <row r="2" customFormat="false" ht="15" hidden="false" customHeight="false" outlineLevel="0" collapsed="false">
      <c r="A2" s="16" t="n">
        <v>46296</v>
      </c>
      <c r="B2" s="17" t="s">
        <v>57</v>
      </c>
      <c r="C2" s="18" t="s">
        <v>24</v>
      </c>
      <c r="D2" s="17" t="n">
        <v>3</v>
      </c>
      <c r="E2" s="17" t="n">
        <v>8</v>
      </c>
      <c r="F2" s="17" t="n">
        <v>0</v>
      </c>
      <c r="G2" s="17" t="n">
        <v>400</v>
      </c>
      <c r="H2" s="17" t="n">
        <v>508</v>
      </c>
      <c r="I2" s="19" t="n">
        <f aca="false">IF(A2="","",D2*(E2-F2))</f>
        <v>24</v>
      </c>
      <c r="J2" s="19" t="n">
        <f aca="false">IF(A2="","",IFERROR(INDEX(设定!$B$5:$B$14,MATCH(C2,设定!$A$5:$A$14,0)),0))</f>
        <v>500</v>
      </c>
      <c r="K2" s="20" t="n">
        <f aca="false">IF(A2="","",G2*J2/1000)</f>
        <v>200</v>
      </c>
      <c r="L2" s="20" t="n">
        <f aca="false">IF(A2="","",I2*IFERROR(INDEX(设定!$C$5:$C$14,MATCH(C2,设定!$A$5:$A$14,0)),0))</f>
        <v>192</v>
      </c>
      <c r="M2" s="21" t="n">
        <f aca="false">IF(A2="","",IF(L2&gt;0,K2/L2,0))</f>
        <v>1.04166666666667</v>
      </c>
      <c r="N2" s="21" t="n">
        <f aca="false">IF(OR(A2="",H2=""),"",IF(J2&gt;0,(H2-J2)/J2,0))</f>
        <v>0.016</v>
      </c>
      <c r="O2" s="22" t="str">
        <f aca="false">IF(OR(A2="",H2=""),"",IF(H2&lt;J2,"⚠ 低于标示",""))</f>
        <v/>
      </c>
      <c r="P2" s="19" t="n">
        <f aca="false">IF(OR(A2="",H2=""),0,G2*(H2-J2))</f>
        <v>3200</v>
      </c>
      <c r="Q2" s="19" t="n">
        <f aca="false">IF(OR(A2="",H2=""),0,G2*J2)</f>
        <v>200000</v>
      </c>
      <c r="R2" s="19" t="n">
        <f aca="false">IF(OR(A2="",H2=""),0,IF(H2&lt;J2,1,0))</f>
        <v>0</v>
      </c>
    </row>
    <row r="3" customFormat="false" ht="15" hidden="false" customHeight="false" outlineLevel="0" collapsed="false">
      <c r="A3" s="16" t="n">
        <v>46296</v>
      </c>
      <c r="B3" s="17" t="s">
        <v>58</v>
      </c>
      <c r="C3" s="18" t="s">
        <v>25</v>
      </c>
      <c r="D3" s="17" t="n">
        <v>3</v>
      </c>
      <c r="E3" s="17" t="n">
        <v>8</v>
      </c>
      <c r="F3" s="17" t="n">
        <v>0</v>
      </c>
      <c r="G3" s="17" t="n">
        <v>260</v>
      </c>
      <c r="H3" s="17" t="n">
        <v>612</v>
      </c>
      <c r="I3" s="19" t="n">
        <f aca="false">IF(A3="","",D3*(E3-F3))</f>
        <v>24</v>
      </c>
      <c r="J3" s="19" t="n">
        <f aca="false">IF(A3="","",IFERROR(INDEX(设定!$B$5:$B$14,MATCH(C3,设定!$A$5:$A$14,0)),0))</f>
        <v>600</v>
      </c>
      <c r="K3" s="20" t="n">
        <f aca="false">IF(A3="","",G3*J3/1000)</f>
        <v>156</v>
      </c>
      <c r="L3" s="20" t="n">
        <f aca="false">IF(A3="","",I3*IFERROR(INDEX(设定!$C$5:$C$14,MATCH(C3,设定!$A$5:$A$14,0)),0))</f>
        <v>144</v>
      </c>
      <c r="M3" s="21" t="n">
        <f aca="false">IF(A3="","",IF(L3&gt;0,K3/L3,0))</f>
        <v>1.08333333333333</v>
      </c>
      <c r="N3" s="21" t="n">
        <f aca="false">IF(OR(A3="",H3=""),"",IF(J3&gt;0,(H3-J3)/J3,0))</f>
        <v>0.02</v>
      </c>
      <c r="O3" s="22" t="str">
        <f aca="false">IF(OR(A3="",H3=""),"",IF(H3&lt;J3,"⚠ 低于标示",""))</f>
        <v/>
      </c>
      <c r="P3" s="19" t="n">
        <f aca="false">IF(OR(A3="",H3=""),0,G3*(H3-J3))</f>
        <v>3120</v>
      </c>
      <c r="Q3" s="19" t="n">
        <f aca="false">IF(OR(A3="",H3=""),0,G3*J3)</f>
        <v>156000</v>
      </c>
      <c r="R3" s="19" t="n">
        <f aca="false">IF(OR(A3="",H3=""),0,IF(H3&lt;J3,1,0))</f>
        <v>0</v>
      </c>
    </row>
    <row r="4" customFormat="false" ht="15" hidden="false" customHeight="false" outlineLevel="0" collapsed="false">
      <c r="A4" s="16" t="n">
        <v>46296</v>
      </c>
      <c r="B4" s="17" t="s">
        <v>59</v>
      </c>
      <c r="C4" s="18" t="s">
        <v>26</v>
      </c>
      <c r="D4" s="17" t="n">
        <v>2</v>
      </c>
      <c r="E4" s="17" t="n">
        <v>8</v>
      </c>
      <c r="F4" s="17" t="n">
        <v>0</v>
      </c>
      <c r="G4" s="17" t="n">
        <v>205</v>
      </c>
      <c r="H4" s="17" t="n">
        <v>404</v>
      </c>
      <c r="I4" s="19" t="n">
        <f aca="false">IF(A4="","",D4*(E4-F4))</f>
        <v>16</v>
      </c>
      <c r="J4" s="19" t="n">
        <f aca="false">IF(A4="","",IFERROR(INDEX(设定!$B$5:$B$14,MATCH(C4,设定!$A$5:$A$14,0)),0))</f>
        <v>400</v>
      </c>
      <c r="K4" s="20" t="n">
        <f aca="false">IF(A4="","",G4*J4/1000)</f>
        <v>82</v>
      </c>
      <c r="L4" s="20" t="n">
        <f aca="false">IF(A4="","",I4*IFERROR(INDEX(设定!$C$5:$C$14,MATCH(C4,设定!$A$5:$A$14,0)),0))</f>
        <v>80</v>
      </c>
      <c r="M4" s="21" t="n">
        <f aca="false">IF(A4="","",IF(L4&gt;0,K4/L4,0))</f>
        <v>1.025</v>
      </c>
      <c r="N4" s="21" t="n">
        <f aca="false">IF(OR(A4="",H4=""),"",IF(J4&gt;0,(H4-J4)/J4,0))</f>
        <v>0.01</v>
      </c>
      <c r="O4" s="22" t="str">
        <f aca="false">IF(OR(A4="",H4=""),"",IF(H4&lt;J4,"⚠ 低于标示",""))</f>
        <v/>
      </c>
      <c r="P4" s="19" t="n">
        <f aca="false">IF(OR(A4="",H4=""),0,G4*(H4-J4))</f>
        <v>820</v>
      </c>
      <c r="Q4" s="19" t="n">
        <f aca="false">IF(OR(A4="",H4=""),0,G4*J4)</f>
        <v>82000</v>
      </c>
      <c r="R4" s="19" t="n">
        <f aca="false">IF(OR(A4="",H4=""),0,IF(H4&lt;J4,1,0))</f>
        <v>0</v>
      </c>
    </row>
    <row r="5" customFormat="false" ht="15" hidden="false" customHeight="false" outlineLevel="0" collapsed="false">
      <c r="A5" s="16" t="n">
        <v>46297</v>
      </c>
      <c r="B5" s="17" t="s">
        <v>57</v>
      </c>
      <c r="C5" s="18" t="s">
        <v>24</v>
      </c>
      <c r="D5" s="17" t="n">
        <v>3</v>
      </c>
      <c r="E5" s="17" t="n">
        <v>8</v>
      </c>
      <c r="F5" s="17" t="n">
        <v>0</v>
      </c>
      <c r="G5" s="17" t="n">
        <v>410</v>
      </c>
      <c r="H5" s="17" t="n">
        <v>506</v>
      </c>
      <c r="I5" s="19" t="n">
        <f aca="false">IF(A5="","",D5*(E5-F5))</f>
        <v>24</v>
      </c>
      <c r="J5" s="19" t="n">
        <f aca="false">IF(A5="","",IFERROR(INDEX(设定!$B$5:$B$14,MATCH(C5,设定!$A$5:$A$14,0)),0))</f>
        <v>500</v>
      </c>
      <c r="K5" s="20" t="n">
        <f aca="false">IF(A5="","",G5*J5/1000)</f>
        <v>205</v>
      </c>
      <c r="L5" s="20" t="n">
        <f aca="false">IF(A5="","",I5*IFERROR(INDEX(设定!$C$5:$C$14,MATCH(C5,设定!$A$5:$A$14,0)),0))</f>
        <v>192</v>
      </c>
      <c r="M5" s="21" t="n">
        <f aca="false">IF(A5="","",IF(L5&gt;0,K5/L5,0))</f>
        <v>1.06770833333333</v>
      </c>
      <c r="N5" s="21" t="n">
        <f aca="false">IF(OR(A5="",H5=""),"",IF(J5&gt;0,(H5-J5)/J5,0))</f>
        <v>0.012</v>
      </c>
      <c r="O5" s="22" t="str">
        <f aca="false">IF(OR(A5="",H5=""),"",IF(H5&lt;J5,"⚠ 低于标示",""))</f>
        <v/>
      </c>
      <c r="P5" s="19" t="n">
        <f aca="false">IF(OR(A5="",H5=""),0,G5*(H5-J5))</f>
        <v>2460</v>
      </c>
      <c r="Q5" s="19" t="n">
        <f aca="false">IF(OR(A5="",H5=""),0,G5*J5)</f>
        <v>205000</v>
      </c>
      <c r="R5" s="19" t="n">
        <f aca="false">IF(OR(A5="",H5=""),0,IF(H5&lt;J5,1,0))</f>
        <v>0</v>
      </c>
    </row>
    <row r="6" customFormat="false" ht="15" hidden="false" customHeight="false" outlineLevel="0" collapsed="false">
      <c r="A6" s="16" t="n">
        <v>46297</v>
      </c>
      <c r="B6" s="17" t="s">
        <v>58</v>
      </c>
      <c r="C6" s="18" t="s">
        <v>25</v>
      </c>
      <c r="D6" s="17" t="n">
        <v>3</v>
      </c>
      <c r="E6" s="17" t="n">
        <v>8</v>
      </c>
      <c r="F6" s="17" t="n">
        <v>1</v>
      </c>
      <c r="G6" s="17" t="n">
        <v>230</v>
      </c>
      <c r="H6" s="17" t="n">
        <v>609</v>
      </c>
      <c r="I6" s="19" t="n">
        <f aca="false">IF(A6="","",D6*(E6-F6))</f>
        <v>21</v>
      </c>
      <c r="J6" s="19" t="n">
        <f aca="false">IF(A6="","",IFERROR(INDEX(设定!$B$5:$B$14,MATCH(C6,设定!$A$5:$A$14,0)),0))</f>
        <v>600</v>
      </c>
      <c r="K6" s="20" t="n">
        <f aca="false">IF(A6="","",G6*J6/1000)</f>
        <v>138</v>
      </c>
      <c r="L6" s="20" t="n">
        <f aca="false">IF(A6="","",I6*IFERROR(INDEX(设定!$C$5:$C$14,MATCH(C6,设定!$A$5:$A$14,0)),0))</f>
        <v>126</v>
      </c>
      <c r="M6" s="21" t="n">
        <f aca="false">IF(A6="","",IF(L6&gt;0,K6/L6,0))</f>
        <v>1.0952380952381</v>
      </c>
      <c r="N6" s="21" t="n">
        <f aca="false">IF(OR(A6="",H6=""),"",IF(J6&gt;0,(H6-J6)/J6,0))</f>
        <v>0.015</v>
      </c>
      <c r="O6" s="22" t="str">
        <f aca="false">IF(OR(A6="",H6=""),"",IF(H6&lt;J6,"⚠ 低于标示",""))</f>
        <v/>
      </c>
      <c r="P6" s="19" t="n">
        <f aca="false">IF(OR(A6="",H6=""),0,G6*(H6-J6))</f>
        <v>2070</v>
      </c>
      <c r="Q6" s="19" t="n">
        <f aca="false">IF(OR(A6="",H6=""),0,G6*J6)</f>
        <v>138000</v>
      </c>
      <c r="R6" s="19" t="n">
        <f aca="false">IF(OR(A6="",H6=""),0,IF(H6&lt;J6,1,0))</f>
        <v>0</v>
      </c>
    </row>
    <row r="7" customFormat="false" ht="15" hidden="false" customHeight="false" outlineLevel="0" collapsed="false">
      <c r="A7" s="16" t="n">
        <v>46297</v>
      </c>
      <c r="B7" s="17" t="s">
        <v>59</v>
      </c>
      <c r="C7" s="18" t="s">
        <v>26</v>
      </c>
      <c r="D7" s="17" t="n">
        <v>2</v>
      </c>
      <c r="E7" s="17" t="n">
        <v>8</v>
      </c>
      <c r="F7" s="17" t="n">
        <v>0</v>
      </c>
      <c r="G7" s="17" t="n">
        <v>200</v>
      </c>
      <c r="H7" s="17" t="n">
        <v>398</v>
      </c>
      <c r="I7" s="19" t="n">
        <f aca="false">IF(A7="","",D7*(E7-F7))</f>
        <v>16</v>
      </c>
      <c r="J7" s="19" t="n">
        <f aca="false">IF(A7="","",IFERROR(INDEX(设定!$B$5:$B$14,MATCH(C7,设定!$A$5:$A$14,0)),0))</f>
        <v>400</v>
      </c>
      <c r="K7" s="20" t="n">
        <f aca="false">IF(A7="","",G7*J7/1000)</f>
        <v>80</v>
      </c>
      <c r="L7" s="20" t="n">
        <f aca="false">IF(A7="","",I7*IFERROR(INDEX(设定!$C$5:$C$14,MATCH(C7,设定!$A$5:$A$14,0)),0))</f>
        <v>80</v>
      </c>
      <c r="M7" s="21" t="n">
        <f aca="false">IF(A7="","",IF(L7&gt;0,K7/L7,0))</f>
        <v>1</v>
      </c>
      <c r="N7" s="21" t="n">
        <f aca="false">IF(OR(A7="",H7=""),"",IF(J7&gt;0,(H7-J7)/J7,0))</f>
        <v>-0.005</v>
      </c>
      <c r="O7" s="22" t="str">
        <f aca="false">IF(OR(A7="",H7=""),"",IF(H7&lt;J7,"⚠ 低于标示",""))</f>
        <v>⚠ 低于标示</v>
      </c>
      <c r="P7" s="19" t="n">
        <f aca="false">IF(OR(A7="",H7=""),0,G7*(H7-J7))</f>
        <v>-400</v>
      </c>
      <c r="Q7" s="19" t="n">
        <f aca="false">IF(OR(A7="",H7=""),0,G7*J7)</f>
        <v>80000</v>
      </c>
      <c r="R7" s="19" t="n">
        <f aca="false">IF(OR(A7="",H7=""),0,IF(H7&lt;J7,1,0))</f>
        <v>1</v>
      </c>
    </row>
    <row r="8" customFormat="false" ht="15" hidden="false" customHeight="false" outlineLevel="0" collapsed="false">
      <c r="A8" s="16" t="n">
        <v>46298</v>
      </c>
      <c r="B8" s="17" t="s">
        <v>57</v>
      </c>
      <c r="C8" s="18" t="s">
        <v>24</v>
      </c>
      <c r="D8" s="17" t="n">
        <v>3</v>
      </c>
      <c r="E8" s="17" t="n">
        <v>8</v>
      </c>
      <c r="F8" s="17" t="n">
        <v>0</v>
      </c>
      <c r="G8" s="17" t="n">
        <v>385</v>
      </c>
      <c r="H8" s="17" t="n">
        <v>511</v>
      </c>
      <c r="I8" s="19" t="n">
        <f aca="false">IF(A8="","",D8*(E8-F8))</f>
        <v>24</v>
      </c>
      <c r="J8" s="19" t="n">
        <f aca="false">IF(A8="","",IFERROR(INDEX(设定!$B$5:$B$14,MATCH(C8,设定!$A$5:$A$14,0)),0))</f>
        <v>500</v>
      </c>
      <c r="K8" s="20" t="n">
        <f aca="false">IF(A8="","",G8*J8/1000)</f>
        <v>192.5</v>
      </c>
      <c r="L8" s="20" t="n">
        <f aca="false">IF(A8="","",I8*IFERROR(INDEX(设定!$C$5:$C$14,MATCH(C8,设定!$A$5:$A$14,0)),0))</f>
        <v>192</v>
      </c>
      <c r="M8" s="21" t="n">
        <f aca="false">IF(A8="","",IF(L8&gt;0,K8/L8,0))</f>
        <v>1.00260416666667</v>
      </c>
      <c r="N8" s="21" t="n">
        <f aca="false">IF(OR(A8="",H8=""),"",IF(J8&gt;0,(H8-J8)/J8,0))</f>
        <v>0.022</v>
      </c>
      <c r="O8" s="22" t="str">
        <f aca="false">IF(OR(A8="",H8=""),"",IF(H8&lt;J8,"⚠ 低于标示",""))</f>
        <v/>
      </c>
      <c r="P8" s="19" t="n">
        <f aca="false">IF(OR(A8="",H8=""),0,G8*(H8-J8))</f>
        <v>4235</v>
      </c>
      <c r="Q8" s="19" t="n">
        <f aca="false">IF(OR(A8="",H8=""),0,G8*J8)</f>
        <v>192500</v>
      </c>
      <c r="R8" s="19" t="n">
        <f aca="false">IF(OR(A8="",H8=""),0,IF(H8&lt;J8,1,0))</f>
        <v>0</v>
      </c>
    </row>
    <row r="9" customFormat="false" ht="15" hidden="false" customHeight="false" outlineLevel="0" collapsed="false">
      <c r="A9" s="16" t="n">
        <v>46298</v>
      </c>
      <c r="B9" s="17" t="s">
        <v>58</v>
      </c>
      <c r="C9" s="18" t="s">
        <v>25</v>
      </c>
      <c r="D9" s="17" t="n">
        <v>3</v>
      </c>
      <c r="E9" s="17" t="n">
        <v>8</v>
      </c>
      <c r="F9" s="17" t="n">
        <v>0</v>
      </c>
      <c r="G9" s="17" t="n">
        <v>275</v>
      </c>
      <c r="H9" s="17" t="n">
        <v>615</v>
      </c>
      <c r="I9" s="19" t="n">
        <f aca="false">IF(A9="","",D9*(E9-F9))</f>
        <v>24</v>
      </c>
      <c r="J9" s="19" t="n">
        <f aca="false">IF(A9="","",IFERROR(INDEX(设定!$B$5:$B$14,MATCH(C9,设定!$A$5:$A$14,0)),0))</f>
        <v>600</v>
      </c>
      <c r="K9" s="20" t="n">
        <f aca="false">IF(A9="","",G9*J9/1000)</f>
        <v>165</v>
      </c>
      <c r="L9" s="20" t="n">
        <f aca="false">IF(A9="","",I9*IFERROR(INDEX(设定!$C$5:$C$14,MATCH(C9,设定!$A$5:$A$14,0)),0))</f>
        <v>144</v>
      </c>
      <c r="M9" s="21" t="n">
        <f aca="false">IF(A9="","",IF(L9&gt;0,K9/L9,0))</f>
        <v>1.14583333333333</v>
      </c>
      <c r="N9" s="21" t="n">
        <f aca="false">IF(OR(A9="",H9=""),"",IF(J9&gt;0,(H9-J9)/J9,0))</f>
        <v>0.025</v>
      </c>
      <c r="O9" s="22" t="str">
        <f aca="false">IF(OR(A9="",H9=""),"",IF(H9&lt;J9,"⚠ 低于标示",""))</f>
        <v/>
      </c>
      <c r="P9" s="19" t="n">
        <f aca="false">IF(OR(A9="",H9=""),0,G9*(H9-J9))</f>
        <v>4125</v>
      </c>
      <c r="Q9" s="19" t="n">
        <f aca="false">IF(OR(A9="",H9=""),0,G9*J9)</f>
        <v>165000</v>
      </c>
      <c r="R9" s="19" t="n">
        <f aca="false">IF(OR(A9="",H9=""),0,IF(H9&lt;J9,1,0))</f>
        <v>0</v>
      </c>
    </row>
    <row r="10" customFormat="false" ht="15" hidden="false" customHeight="false" outlineLevel="0" collapsed="false">
      <c r="A10" s="16" t="n">
        <v>46298</v>
      </c>
      <c r="B10" s="17" t="s">
        <v>59</v>
      </c>
      <c r="C10" s="18" t="s">
        <v>26</v>
      </c>
      <c r="D10" s="17" t="n">
        <v>2</v>
      </c>
      <c r="E10" s="17" t="n">
        <v>8</v>
      </c>
      <c r="F10" s="17" t="n">
        <v>0</v>
      </c>
      <c r="G10" s="17" t="n">
        <v>215</v>
      </c>
      <c r="H10" s="17" t="n">
        <v>405</v>
      </c>
      <c r="I10" s="19" t="n">
        <f aca="false">IF(A10="","",D10*(E10-F10))</f>
        <v>16</v>
      </c>
      <c r="J10" s="19" t="n">
        <f aca="false">IF(A10="","",IFERROR(INDEX(设定!$B$5:$B$14,MATCH(C10,设定!$A$5:$A$14,0)),0))</f>
        <v>400</v>
      </c>
      <c r="K10" s="20" t="n">
        <f aca="false">IF(A10="","",G10*J10/1000)</f>
        <v>86</v>
      </c>
      <c r="L10" s="20" t="n">
        <f aca="false">IF(A10="","",I10*IFERROR(INDEX(设定!$C$5:$C$14,MATCH(C10,设定!$A$5:$A$14,0)),0))</f>
        <v>80</v>
      </c>
      <c r="M10" s="21" t="n">
        <f aca="false">IF(A10="","",IF(L10&gt;0,K10/L10,0))</f>
        <v>1.075</v>
      </c>
      <c r="N10" s="21" t="n">
        <f aca="false">IF(OR(A10="",H10=""),"",IF(J10&gt;0,(H10-J10)/J10,0))</f>
        <v>0.0125</v>
      </c>
      <c r="O10" s="22" t="str">
        <f aca="false">IF(OR(A10="",H10=""),"",IF(H10&lt;J10,"⚠ 低于标示",""))</f>
        <v/>
      </c>
      <c r="P10" s="19" t="n">
        <f aca="false">IF(OR(A10="",H10=""),0,G10*(H10-J10))</f>
        <v>1075</v>
      </c>
      <c r="Q10" s="19" t="n">
        <f aca="false">IF(OR(A10="",H10=""),0,G10*J10)</f>
        <v>86000</v>
      </c>
      <c r="R10" s="19" t="n">
        <f aca="false">IF(OR(A10="",H10=""),0,IF(H10&lt;J10,1,0))</f>
        <v>0</v>
      </c>
    </row>
    <row r="11" customFormat="false" ht="15" hidden="false" customHeight="false" outlineLevel="0" collapsed="false">
      <c r="A11" s="16"/>
      <c r="B11" s="17"/>
      <c r="C11" s="18"/>
      <c r="D11" s="17"/>
      <c r="E11" s="17"/>
      <c r="F11" s="17"/>
      <c r="G11" s="17"/>
      <c r="H11" s="17"/>
      <c r="I11" s="19" t="str">
        <f aca="false">IF(A11="","",D11*(E11-F11))</f>
        <v/>
      </c>
      <c r="J11" s="19" t="str">
        <f aca="false">IF(A11="","",IFERROR(INDEX(设定!$B$5:$B$14,MATCH(C11,设定!$A$5:$A$14,0)),0))</f>
        <v/>
      </c>
      <c r="K11" s="20" t="str">
        <f aca="false">IF(A11="","",G11*J11/1000)</f>
        <v/>
      </c>
      <c r="L11" s="20" t="str">
        <f aca="false">IF(A11="","",I11*IFERROR(INDEX(设定!$C$5:$C$14,MATCH(C11,设定!$A$5:$A$14,0)),0))</f>
        <v/>
      </c>
      <c r="M11" s="21" t="str">
        <f aca="false">IF(A11="","",IF(L11&gt;0,K11/L11,0))</f>
        <v/>
      </c>
      <c r="N11" s="21" t="str">
        <f aca="false">IF(OR(A11="",H11=""),"",IF(J11&gt;0,(H11-J11)/J11,0))</f>
        <v/>
      </c>
      <c r="O11" s="22" t="str">
        <f aca="false">IF(OR(A11="",H11=""),"",IF(H11&lt;J11,"⚠ 低于标示",""))</f>
        <v/>
      </c>
      <c r="P11" s="19" t="n">
        <f aca="false">IF(OR(A11="",H11=""),0,G11*(H11-J11))</f>
        <v>0</v>
      </c>
      <c r="Q11" s="19" t="n">
        <f aca="false">IF(OR(A11="",H11=""),0,G11*J11)</f>
        <v>0</v>
      </c>
      <c r="R11" s="19" t="n">
        <f aca="false">IF(OR(A11="",H11=""),0,IF(H11&lt;J11,1,0))</f>
        <v>0</v>
      </c>
    </row>
    <row r="12" customFormat="false" ht="15" hidden="false" customHeight="false" outlineLevel="0" collapsed="false">
      <c r="A12" s="16"/>
      <c r="B12" s="17"/>
      <c r="C12" s="18"/>
      <c r="D12" s="17"/>
      <c r="E12" s="17"/>
      <c r="F12" s="17"/>
      <c r="G12" s="17"/>
      <c r="H12" s="17"/>
      <c r="I12" s="19" t="str">
        <f aca="false">IF(A12="","",D12*(E12-F12))</f>
        <v/>
      </c>
      <c r="J12" s="19" t="str">
        <f aca="false">IF(A12="","",IFERROR(INDEX(设定!$B$5:$B$14,MATCH(C12,设定!$A$5:$A$14,0)),0))</f>
        <v/>
      </c>
      <c r="K12" s="20" t="str">
        <f aca="false">IF(A12="","",G12*J12/1000)</f>
        <v/>
      </c>
      <c r="L12" s="20" t="str">
        <f aca="false">IF(A12="","",I12*IFERROR(INDEX(设定!$C$5:$C$14,MATCH(C12,设定!$A$5:$A$14,0)),0))</f>
        <v/>
      </c>
      <c r="M12" s="21" t="str">
        <f aca="false">IF(A12="","",IF(L12&gt;0,K12/L12,0))</f>
        <v/>
      </c>
      <c r="N12" s="21" t="str">
        <f aca="false">IF(OR(A12="",H12=""),"",IF(J12&gt;0,(H12-J12)/J12,0))</f>
        <v/>
      </c>
      <c r="O12" s="22" t="str">
        <f aca="false">IF(OR(A12="",H12=""),"",IF(H12&lt;J12,"⚠ 低于标示",""))</f>
        <v/>
      </c>
      <c r="P12" s="19" t="n">
        <f aca="false">IF(OR(A12="",H12=""),0,G12*(H12-J12))</f>
        <v>0</v>
      </c>
      <c r="Q12" s="19" t="n">
        <f aca="false">IF(OR(A12="",H12=""),0,G12*J12)</f>
        <v>0</v>
      </c>
      <c r="R12" s="19" t="n">
        <f aca="false">IF(OR(A12="",H12=""),0,IF(H12&lt;J12,1,0))</f>
        <v>0</v>
      </c>
    </row>
    <row r="13" customFormat="false" ht="15" hidden="false" customHeight="false" outlineLevel="0" collapsed="false">
      <c r="A13" s="16"/>
      <c r="B13" s="17"/>
      <c r="C13" s="18"/>
      <c r="D13" s="17"/>
      <c r="E13" s="17"/>
      <c r="F13" s="17"/>
      <c r="G13" s="17"/>
      <c r="H13" s="17"/>
      <c r="I13" s="19" t="str">
        <f aca="false">IF(A13="","",D13*(E13-F13))</f>
        <v/>
      </c>
      <c r="J13" s="19" t="str">
        <f aca="false">IF(A13="","",IFERROR(INDEX(设定!$B$5:$B$14,MATCH(C13,设定!$A$5:$A$14,0)),0))</f>
        <v/>
      </c>
      <c r="K13" s="20" t="str">
        <f aca="false">IF(A13="","",G13*J13/1000)</f>
        <v/>
      </c>
      <c r="L13" s="20" t="str">
        <f aca="false">IF(A13="","",I13*IFERROR(INDEX(设定!$C$5:$C$14,MATCH(C13,设定!$A$5:$A$14,0)),0))</f>
        <v/>
      </c>
      <c r="M13" s="21" t="str">
        <f aca="false">IF(A13="","",IF(L13&gt;0,K13/L13,0))</f>
        <v/>
      </c>
      <c r="N13" s="21" t="str">
        <f aca="false">IF(OR(A13="",H13=""),"",IF(J13&gt;0,(H13-J13)/J13,0))</f>
        <v/>
      </c>
      <c r="O13" s="22" t="str">
        <f aca="false">IF(OR(A13="",H13=""),"",IF(H13&lt;J13,"⚠ 低于标示",""))</f>
        <v/>
      </c>
      <c r="P13" s="19" t="n">
        <f aca="false">IF(OR(A13="",H13=""),0,G13*(H13-J13))</f>
        <v>0</v>
      </c>
      <c r="Q13" s="19" t="n">
        <f aca="false">IF(OR(A13="",H13=""),0,G13*J13)</f>
        <v>0</v>
      </c>
      <c r="R13" s="19" t="n">
        <f aca="false">IF(OR(A13="",H13=""),0,IF(H13&lt;J13,1,0))</f>
        <v>0</v>
      </c>
    </row>
    <row r="14" customFormat="false" ht="15" hidden="false" customHeight="false" outlineLevel="0" collapsed="false">
      <c r="A14" s="16"/>
      <c r="B14" s="17"/>
      <c r="C14" s="18"/>
      <c r="D14" s="17"/>
      <c r="E14" s="17"/>
      <c r="F14" s="17"/>
      <c r="G14" s="17"/>
      <c r="H14" s="17"/>
      <c r="I14" s="19" t="str">
        <f aca="false">IF(A14="","",D14*(E14-F14))</f>
        <v/>
      </c>
      <c r="J14" s="19" t="str">
        <f aca="false">IF(A14="","",IFERROR(INDEX(设定!$B$5:$B$14,MATCH(C14,设定!$A$5:$A$14,0)),0))</f>
        <v/>
      </c>
      <c r="K14" s="20" t="str">
        <f aca="false">IF(A14="","",G14*J14/1000)</f>
        <v/>
      </c>
      <c r="L14" s="20" t="str">
        <f aca="false">IF(A14="","",I14*IFERROR(INDEX(设定!$C$5:$C$14,MATCH(C14,设定!$A$5:$A$14,0)),0))</f>
        <v/>
      </c>
      <c r="M14" s="21" t="str">
        <f aca="false">IF(A14="","",IF(L14&gt;0,K14/L14,0))</f>
        <v/>
      </c>
      <c r="N14" s="21" t="str">
        <f aca="false">IF(OR(A14="",H14=""),"",IF(J14&gt;0,(H14-J14)/J14,0))</f>
        <v/>
      </c>
      <c r="O14" s="22" t="str">
        <f aca="false">IF(OR(A14="",H14=""),"",IF(H14&lt;J14,"⚠ 低于标示",""))</f>
        <v/>
      </c>
      <c r="P14" s="19" t="n">
        <f aca="false">IF(OR(A14="",H14=""),0,G14*(H14-J14))</f>
        <v>0</v>
      </c>
      <c r="Q14" s="19" t="n">
        <f aca="false">IF(OR(A14="",H14=""),0,G14*J14)</f>
        <v>0</v>
      </c>
      <c r="R14" s="19" t="n">
        <f aca="false">IF(OR(A14="",H14=""),0,IF(H14&lt;J14,1,0))</f>
        <v>0</v>
      </c>
    </row>
    <row r="15" customFormat="false" ht="15" hidden="false" customHeight="false" outlineLevel="0" collapsed="false">
      <c r="A15" s="16"/>
      <c r="B15" s="17"/>
      <c r="C15" s="18"/>
      <c r="D15" s="17"/>
      <c r="E15" s="17"/>
      <c r="F15" s="17"/>
      <c r="G15" s="17"/>
      <c r="H15" s="17"/>
      <c r="I15" s="19" t="str">
        <f aca="false">IF(A15="","",D15*(E15-F15))</f>
        <v/>
      </c>
      <c r="J15" s="19" t="str">
        <f aca="false">IF(A15="","",IFERROR(INDEX(设定!$B$5:$B$14,MATCH(C15,设定!$A$5:$A$14,0)),0))</f>
        <v/>
      </c>
      <c r="K15" s="20" t="str">
        <f aca="false">IF(A15="","",G15*J15/1000)</f>
        <v/>
      </c>
      <c r="L15" s="20" t="str">
        <f aca="false">IF(A15="","",I15*IFERROR(INDEX(设定!$C$5:$C$14,MATCH(C15,设定!$A$5:$A$14,0)),0))</f>
        <v/>
      </c>
      <c r="M15" s="21" t="str">
        <f aca="false">IF(A15="","",IF(L15&gt;0,K15/L15,0))</f>
        <v/>
      </c>
      <c r="N15" s="21" t="str">
        <f aca="false">IF(OR(A15="",H15=""),"",IF(J15&gt;0,(H15-J15)/J15,0))</f>
        <v/>
      </c>
      <c r="O15" s="22" t="str">
        <f aca="false">IF(OR(A15="",H15=""),"",IF(H15&lt;J15,"⚠ 低于标示",""))</f>
        <v/>
      </c>
      <c r="P15" s="19" t="n">
        <f aca="false">IF(OR(A15="",H15=""),0,G15*(H15-J15))</f>
        <v>0</v>
      </c>
      <c r="Q15" s="19" t="n">
        <f aca="false">IF(OR(A15="",H15=""),0,G15*J15)</f>
        <v>0</v>
      </c>
      <c r="R15" s="19" t="n">
        <f aca="false">IF(OR(A15="",H15=""),0,IF(H15&lt;J15,1,0))</f>
        <v>0</v>
      </c>
    </row>
    <row r="16" customFormat="false" ht="15" hidden="false" customHeight="false" outlineLevel="0" collapsed="false">
      <c r="A16" s="16"/>
      <c r="B16" s="17"/>
      <c r="C16" s="18"/>
      <c r="D16" s="17"/>
      <c r="E16" s="17"/>
      <c r="F16" s="17"/>
      <c r="G16" s="17"/>
      <c r="H16" s="17"/>
      <c r="I16" s="19" t="str">
        <f aca="false">IF(A16="","",D16*(E16-F16))</f>
        <v/>
      </c>
      <c r="J16" s="19" t="str">
        <f aca="false">IF(A16="","",IFERROR(INDEX(设定!$B$5:$B$14,MATCH(C16,设定!$A$5:$A$14,0)),0))</f>
        <v/>
      </c>
      <c r="K16" s="20" t="str">
        <f aca="false">IF(A16="","",G16*J16/1000)</f>
        <v/>
      </c>
      <c r="L16" s="20" t="str">
        <f aca="false">IF(A16="","",I16*IFERROR(INDEX(设定!$C$5:$C$14,MATCH(C16,设定!$A$5:$A$14,0)),0))</f>
        <v/>
      </c>
      <c r="M16" s="21" t="str">
        <f aca="false">IF(A16="","",IF(L16&gt;0,K16/L16,0))</f>
        <v/>
      </c>
      <c r="N16" s="21" t="str">
        <f aca="false">IF(OR(A16="",H16=""),"",IF(J16&gt;0,(H16-J16)/J16,0))</f>
        <v/>
      </c>
      <c r="O16" s="22" t="str">
        <f aca="false">IF(OR(A16="",H16=""),"",IF(H16&lt;J16,"⚠ 低于标示",""))</f>
        <v/>
      </c>
      <c r="P16" s="19" t="n">
        <f aca="false">IF(OR(A16="",H16=""),0,G16*(H16-J16))</f>
        <v>0</v>
      </c>
      <c r="Q16" s="19" t="n">
        <f aca="false">IF(OR(A16="",H16=""),0,G16*J16)</f>
        <v>0</v>
      </c>
      <c r="R16" s="19" t="n">
        <f aca="false">IF(OR(A16="",H16=""),0,IF(H16&lt;J16,1,0))</f>
        <v>0</v>
      </c>
    </row>
    <row r="17" customFormat="false" ht="15" hidden="false" customHeight="false" outlineLevel="0" collapsed="false">
      <c r="A17" s="16"/>
      <c r="B17" s="17"/>
      <c r="C17" s="18"/>
      <c r="D17" s="17"/>
      <c r="E17" s="17"/>
      <c r="F17" s="17"/>
      <c r="G17" s="17"/>
      <c r="H17" s="17"/>
      <c r="I17" s="19" t="str">
        <f aca="false">IF(A17="","",D17*(E17-F17))</f>
        <v/>
      </c>
      <c r="J17" s="19" t="str">
        <f aca="false">IF(A17="","",IFERROR(INDEX(设定!$B$5:$B$14,MATCH(C17,设定!$A$5:$A$14,0)),0))</f>
        <v/>
      </c>
      <c r="K17" s="20" t="str">
        <f aca="false">IF(A17="","",G17*J17/1000)</f>
        <v/>
      </c>
      <c r="L17" s="20" t="str">
        <f aca="false">IF(A17="","",I17*IFERROR(INDEX(设定!$C$5:$C$14,MATCH(C17,设定!$A$5:$A$14,0)),0))</f>
        <v/>
      </c>
      <c r="M17" s="21" t="str">
        <f aca="false">IF(A17="","",IF(L17&gt;0,K17/L17,0))</f>
        <v/>
      </c>
      <c r="N17" s="21" t="str">
        <f aca="false">IF(OR(A17="",H17=""),"",IF(J17&gt;0,(H17-J17)/J17,0))</f>
        <v/>
      </c>
      <c r="O17" s="22" t="str">
        <f aca="false">IF(OR(A17="",H17=""),"",IF(H17&lt;J17,"⚠ 低于标示",""))</f>
        <v/>
      </c>
      <c r="P17" s="19" t="n">
        <f aca="false">IF(OR(A17="",H17=""),0,G17*(H17-J17))</f>
        <v>0</v>
      </c>
      <c r="Q17" s="19" t="n">
        <f aca="false">IF(OR(A17="",H17=""),0,G17*J17)</f>
        <v>0</v>
      </c>
      <c r="R17" s="19" t="n">
        <f aca="false">IF(OR(A17="",H17=""),0,IF(H17&lt;J17,1,0))</f>
        <v>0</v>
      </c>
    </row>
    <row r="18" customFormat="false" ht="15" hidden="false" customHeight="false" outlineLevel="0" collapsed="false">
      <c r="A18" s="16"/>
      <c r="B18" s="17"/>
      <c r="C18" s="18"/>
      <c r="D18" s="17"/>
      <c r="E18" s="17"/>
      <c r="F18" s="17"/>
      <c r="G18" s="17"/>
      <c r="H18" s="17"/>
      <c r="I18" s="19" t="str">
        <f aca="false">IF(A18="","",D18*(E18-F18))</f>
        <v/>
      </c>
      <c r="J18" s="19" t="str">
        <f aca="false">IF(A18="","",IFERROR(INDEX(设定!$B$5:$B$14,MATCH(C18,设定!$A$5:$A$14,0)),0))</f>
        <v/>
      </c>
      <c r="K18" s="20" t="str">
        <f aca="false">IF(A18="","",G18*J18/1000)</f>
        <v/>
      </c>
      <c r="L18" s="20" t="str">
        <f aca="false">IF(A18="","",I18*IFERROR(INDEX(设定!$C$5:$C$14,MATCH(C18,设定!$A$5:$A$14,0)),0))</f>
        <v/>
      </c>
      <c r="M18" s="21" t="str">
        <f aca="false">IF(A18="","",IF(L18&gt;0,K18/L18,0))</f>
        <v/>
      </c>
      <c r="N18" s="21" t="str">
        <f aca="false">IF(OR(A18="",H18=""),"",IF(J18&gt;0,(H18-J18)/J18,0))</f>
        <v/>
      </c>
      <c r="O18" s="22" t="str">
        <f aca="false">IF(OR(A18="",H18=""),"",IF(H18&lt;J18,"⚠ 低于标示",""))</f>
        <v/>
      </c>
      <c r="P18" s="19" t="n">
        <f aca="false">IF(OR(A18="",H18=""),0,G18*(H18-J18))</f>
        <v>0</v>
      </c>
      <c r="Q18" s="19" t="n">
        <f aca="false">IF(OR(A18="",H18=""),0,G18*J18)</f>
        <v>0</v>
      </c>
      <c r="R18" s="19" t="n">
        <f aca="false">IF(OR(A18="",H18=""),0,IF(H18&lt;J18,1,0))</f>
        <v>0</v>
      </c>
    </row>
    <row r="19" customFormat="false" ht="15" hidden="false" customHeight="false" outlineLevel="0" collapsed="false">
      <c r="A19" s="16"/>
      <c r="B19" s="17"/>
      <c r="C19" s="18"/>
      <c r="D19" s="17"/>
      <c r="E19" s="17"/>
      <c r="F19" s="17"/>
      <c r="G19" s="17"/>
      <c r="H19" s="17"/>
      <c r="I19" s="19" t="str">
        <f aca="false">IF(A19="","",D19*(E19-F19))</f>
        <v/>
      </c>
      <c r="J19" s="19" t="str">
        <f aca="false">IF(A19="","",IFERROR(INDEX(设定!$B$5:$B$14,MATCH(C19,设定!$A$5:$A$14,0)),0))</f>
        <v/>
      </c>
      <c r="K19" s="20" t="str">
        <f aca="false">IF(A19="","",G19*J19/1000)</f>
        <v/>
      </c>
      <c r="L19" s="20" t="str">
        <f aca="false">IF(A19="","",I19*IFERROR(INDEX(设定!$C$5:$C$14,MATCH(C19,设定!$A$5:$A$14,0)),0))</f>
        <v/>
      </c>
      <c r="M19" s="21" t="str">
        <f aca="false">IF(A19="","",IF(L19&gt;0,K19/L19,0))</f>
        <v/>
      </c>
      <c r="N19" s="21" t="str">
        <f aca="false">IF(OR(A19="",H19=""),"",IF(J19&gt;0,(H19-J19)/J19,0))</f>
        <v/>
      </c>
      <c r="O19" s="22" t="str">
        <f aca="false">IF(OR(A19="",H19=""),"",IF(H19&lt;J19,"⚠ 低于标示",""))</f>
        <v/>
      </c>
      <c r="P19" s="19" t="n">
        <f aca="false">IF(OR(A19="",H19=""),0,G19*(H19-J19))</f>
        <v>0</v>
      </c>
      <c r="Q19" s="19" t="n">
        <f aca="false">IF(OR(A19="",H19=""),0,G19*J19)</f>
        <v>0</v>
      </c>
      <c r="R19" s="19" t="n">
        <f aca="false">IF(OR(A19="",H19=""),0,IF(H19&lt;J19,1,0))</f>
        <v>0</v>
      </c>
    </row>
    <row r="20" customFormat="false" ht="15" hidden="false" customHeight="false" outlineLevel="0" collapsed="false">
      <c r="A20" s="16"/>
      <c r="B20" s="17"/>
      <c r="C20" s="18"/>
      <c r="D20" s="17"/>
      <c r="E20" s="17"/>
      <c r="F20" s="17"/>
      <c r="G20" s="17"/>
      <c r="H20" s="17"/>
      <c r="I20" s="19" t="str">
        <f aca="false">IF(A20="","",D20*(E20-F20))</f>
        <v/>
      </c>
      <c r="J20" s="19" t="str">
        <f aca="false">IF(A20="","",IFERROR(INDEX(设定!$B$5:$B$14,MATCH(C20,设定!$A$5:$A$14,0)),0))</f>
        <v/>
      </c>
      <c r="K20" s="20" t="str">
        <f aca="false">IF(A20="","",G20*J20/1000)</f>
        <v/>
      </c>
      <c r="L20" s="20" t="str">
        <f aca="false">IF(A20="","",I20*IFERROR(INDEX(设定!$C$5:$C$14,MATCH(C20,设定!$A$5:$A$14,0)),0))</f>
        <v/>
      </c>
      <c r="M20" s="21" t="str">
        <f aca="false">IF(A20="","",IF(L20&gt;0,K20/L20,0))</f>
        <v/>
      </c>
      <c r="N20" s="21" t="str">
        <f aca="false">IF(OR(A20="",H20=""),"",IF(J20&gt;0,(H20-J20)/J20,0))</f>
        <v/>
      </c>
      <c r="O20" s="22" t="str">
        <f aca="false">IF(OR(A20="",H20=""),"",IF(H20&lt;J20,"⚠ 低于标示",""))</f>
        <v/>
      </c>
      <c r="P20" s="19" t="n">
        <f aca="false">IF(OR(A20="",H20=""),0,G20*(H20-J20))</f>
        <v>0</v>
      </c>
      <c r="Q20" s="19" t="n">
        <f aca="false">IF(OR(A20="",H20=""),0,G20*J20)</f>
        <v>0</v>
      </c>
      <c r="R20" s="19" t="n">
        <f aca="false">IF(OR(A20="",H20=""),0,IF(H20&lt;J20,1,0))</f>
        <v>0</v>
      </c>
    </row>
    <row r="21" customFormat="false" ht="15" hidden="false" customHeight="false" outlineLevel="0" collapsed="false">
      <c r="A21" s="16"/>
      <c r="B21" s="17"/>
      <c r="C21" s="18"/>
      <c r="D21" s="17"/>
      <c r="E21" s="17"/>
      <c r="F21" s="17"/>
      <c r="G21" s="17"/>
      <c r="H21" s="17"/>
      <c r="I21" s="19" t="str">
        <f aca="false">IF(A21="","",D21*(E21-F21))</f>
        <v/>
      </c>
      <c r="J21" s="19" t="str">
        <f aca="false">IF(A21="","",IFERROR(INDEX(设定!$B$5:$B$14,MATCH(C21,设定!$A$5:$A$14,0)),0))</f>
        <v/>
      </c>
      <c r="K21" s="20" t="str">
        <f aca="false">IF(A21="","",G21*J21/1000)</f>
        <v/>
      </c>
      <c r="L21" s="20" t="str">
        <f aca="false">IF(A21="","",I21*IFERROR(INDEX(设定!$C$5:$C$14,MATCH(C21,设定!$A$5:$A$14,0)),0))</f>
        <v/>
      </c>
      <c r="M21" s="21" t="str">
        <f aca="false">IF(A21="","",IF(L21&gt;0,K21/L21,0))</f>
        <v/>
      </c>
      <c r="N21" s="21" t="str">
        <f aca="false">IF(OR(A21="",H21=""),"",IF(J21&gt;0,(H21-J21)/J21,0))</f>
        <v/>
      </c>
      <c r="O21" s="22" t="str">
        <f aca="false">IF(OR(A21="",H21=""),"",IF(H21&lt;J21,"⚠ 低于标示",""))</f>
        <v/>
      </c>
      <c r="P21" s="19" t="n">
        <f aca="false">IF(OR(A21="",H21=""),0,G21*(H21-J21))</f>
        <v>0</v>
      </c>
      <c r="Q21" s="19" t="n">
        <f aca="false">IF(OR(A21="",H21=""),0,G21*J21)</f>
        <v>0</v>
      </c>
      <c r="R21" s="19" t="n">
        <f aca="false">IF(OR(A21="",H21=""),0,IF(H21&lt;J21,1,0))</f>
        <v>0</v>
      </c>
    </row>
    <row r="22" customFormat="false" ht="15" hidden="false" customHeight="false" outlineLevel="0" collapsed="false">
      <c r="A22" s="16"/>
      <c r="B22" s="17"/>
      <c r="C22" s="18"/>
      <c r="D22" s="17"/>
      <c r="E22" s="17"/>
      <c r="F22" s="17"/>
      <c r="G22" s="17"/>
      <c r="H22" s="17"/>
      <c r="I22" s="19" t="str">
        <f aca="false">IF(A22="","",D22*(E22-F22))</f>
        <v/>
      </c>
      <c r="J22" s="19" t="str">
        <f aca="false">IF(A22="","",IFERROR(INDEX(设定!$B$5:$B$14,MATCH(C22,设定!$A$5:$A$14,0)),0))</f>
        <v/>
      </c>
      <c r="K22" s="20" t="str">
        <f aca="false">IF(A22="","",G22*J22/1000)</f>
        <v/>
      </c>
      <c r="L22" s="20" t="str">
        <f aca="false">IF(A22="","",I22*IFERROR(INDEX(设定!$C$5:$C$14,MATCH(C22,设定!$A$5:$A$14,0)),0))</f>
        <v/>
      </c>
      <c r="M22" s="21" t="str">
        <f aca="false">IF(A22="","",IF(L22&gt;0,K22/L22,0))</f>
        <v/>
      </c>
      <c r="N22" s="21" t="str">
        <f aca="false">IF(OR(A22="",H22=""),"",IF(J22&gt;0,(H22-J22)/J22,0))</f>
        <v/>
      </c>
      <c r="O22" s="22" t="str">
        <f aca="false">IF(OR(A22="",H22=""),"",IF(H22&lt;J22,"⚠ 低于标示",""))</f>
        <v/>
      </c>
      <c r="P22" s="19" t="n">
        <f aca="false">IF(OR(A22="",H22=""),0,G22*(H22-J22))</f>
        <v>0</v>
      </c>
      <c r="Q22" s="19" t="n">
        <f aca="false">IF(OR(A22="",H22=""),0,G22*J22)</f>
        <v>0</v>
      </c>
      <c r="R22" s="19" t="n">
        <f aca="false">IF(OR(A22="",H22=""),0,IF(H22&lt;J22,1,0))</f>
        <v>0</v>
      </c>
    </row>
    <row r="23" customFormat="false" ht="15" hidden="false" customHeight="false" outlineLevel="0" collapsed="false">
      <c r="A23" s="16"/>
      <c r="B23" s="17"/>
      <c r="C23" s="18"/>
      <c r="D23" s="17"/>
      <c r="E23" s="17"/>
      <c r="F23" s="17"/>
      <c r="G23" s="17"/>
      <c r="H23" s="17"/>
      <c r="I23" s="19" t="str">
        <f aca="false">IF(A23="","",D23*(E23-F23))</f>
        <v/>
      </c>
      <c r="J23" s="19" t="str">
        <f aca="false">IF(A23="","",IFERROR(INDEX(设定!$B$5:$B$14,MATCH(C23,设定!$A$5:$A$14,0)),0))</f>
        <v/>
      </c>
      <c r="K23" s="20" t="str">
        <f aca="false">IF(A23="","",G23*J23/1000)</f>
        <v/>
      </c>
      <c r="L23" s="20" t="str">
        <f aca="false">IF(A23="","",I23*IFERROR(INDEX(设定!$C$5:$C$14,MATCH(C23,设定!$A$5:$A$14,0)),0))</f>
        <v/>
      </c>
      <c r="M23" s="21" t="str">
        <f aca="false">IF(A23="","",IF(L23&gt;0,K23/L23,0))</f>
        <v/>
      </c>
      <c r="N23" s="21" t="str">
        <f aca="false">IF(OR(A23="",H23=""),"",IF(J23&gt;0,(H23-J23)/J23,0))</f>
        <v/>
      </c>
      <c r="O23" s="22" t="str">
        <f aca="false">IF(OR(A23="",H23=""),"",IF(H23&lt;J23,"⚠ 低于标示",""))</f>
        <v/>
      </c>
      <c r="P23" s="19" t="n">
        <f aca="false">IF(OR(A23="",H23=""),0,G23*(H23-J23))</f>
        <v>0</v>
      </c>
      <c r="Q23" s="19" t="n">
        <f aca="false">IF(OR(A23="",H23=""),0,G23*J23)</f>
        <v>0</v>
      </c>
      <c r="R23" s="19" t="n">
        <f aca="false">IF(OR(A23="",H23=""),0,IF(H23&lt;J23,1,0))</f>
        <v>0</v>
      </c>
    </row>
    <row r="24" customFormat="false" ht="15" hidden="false" customHeight="false" outlineLevel="0" collapsed="false">
      <c r="A24" s="16"/>
      <c r="B24" s="17"/>
      <c r="C24" s="18"/>
      <c r="D24" s="17"/>
      <c r="E24" s="17"/>
      <c r="F24" s="17"/>
      <c r="G24" s="17"/>
      <c r="H24" s="17"/>
      <c r="I24" s="19" t="str">
        <f aca="false">IF(A24="","",D24*(E24-F24))</f>
        <v/>
      </c>
      <c r="J24" s="19" t="str">
        <f aca="false">IF(A24="","",IFERROR(INDEX(设定!$B$5:$B$14,MATCH(C24,设定!$A$5:$A$14,0)),0))</f>
        <v/>
      </c>
      <c r="K24" s="20" t="str">
        <f aca="false">IF(A24="","",G24*J24/1000)</f>
        <v/>
      </c>
      <c r="L24" s="20" t="str">
        <f aca="false">IF(A24="","",I24*IFERROR(INDEX(设定!$C$5:$C$14,MATCH(C24,设定!$A$5:$A$14,0)),0))</f>
        <v/>
      </c>
      <c r="M24" s="21" t="str">
        <f aca="false">IF(A24="","",IF(L24&gt;0,K24/L24,0))</f>
        <v/>
      </c>
      <c r="N24" s="21" t="str">
        <f aca="false">IF(OR(A24="",H24=""),"",IF(J24&gt;0,(H24-J24)/J24,0))</f>
        <v/>
      </c>
      <c r="O24" s="22" t="str">
        <f aca="false">IF(OR(A24="",H24=""),"",IF(H24&lt;J24,"⚠ 低于标示",""))</f>
        <v/>
      </c>
      <c r="P24" s="19" t="n">
        <f aca="false">IF(OR(A24="",H24=""),0,G24*(H24-J24))</f>
        <v>0</v>
      </c>
      <c r="Q24" s="19" t="n">
        <f aca="false">IF(OR(A24="",H24=""),0,G24*J24)</f>
        <v>0</v>
      </c>
      <c r="R24" s="19" t="n">
        <f aca="false">IF(OR(A24="",H24=""),0,IF(H24&lt;J24,1,0))</f>
        <v>0</v>
      </c>
    </row>
    <row r="25" customFormat="false" ht="15" hidden="false" customHeight="false" outlineLevel="0" collapsed="false">
      <c r="A25" s="16"/>
      <c r="B25" s="17"/>
      <c r="C25" s="18"/>
      <c r="D25" s="17"/>
      <c r="E25" s="17"/>
      <c r="F25" s="17"/>
      <c r="G25" s="17"/>
      <c r="H25" s="17"/>
      <c r="I25" s="19" t="str">
        <f aca="false">IF(A25="","",D25*(E25-F25))</f>
        <v/>
      </c>
      <c r="J25" s="19" t="str">
        <f aca="false">IF(A25="","",IFERROR(INDEX(设定!$B$5:$B$14,MATCH(C25,设定!$A$5:$A$14,0)),0))</f>
        <v/>
      </c>
      <c r="K25" s="20" t="str">
        <f aca="false">IF(A25="","",G25*J25/1000)</f>
        <v/>
      </c>
      <c r="L25" s="20" t="str">
        <f aca="false">IF(A25="","",I25*IFERROR(INDEX(设定!$C$5:$C$14,MATCH(C25,设定!$A$5:$A$14,0)),0))</f>
        <v/>
      </c>
      <c r="M25" s="21" t="str">
        <f aca="false">IF(A25="","",IF(L25&gt;0,K25/L25,0))</f>
        <v/>
      </c>
      <c r="N25" s="21" t="str">
        <f aca="false">IF(OR(A25="",H25=""),"",IF(J25&gt;0,(H25-J25)/J25,0))</f>
        <v/>
      </c>
      <c r="O25" s="22" t="str">
        <f aca="false">IF(OR(A25="",H25=""),"",IF(H25&lt;J25,"⚠ 低于标示",""))</f>
        <v/>
      </c>
      <c r="P25" s="19" t="n">
        <f aca="false">IF(OR(A25="",H25=""),0,G25*(H25-J25))</f>
        <v>0</v>
      </c>
      <c r="Q25" s="19" t="n">
        <f aca="false">IF(OR(A25="",H25=""),0,G25*J25)</f>
        <v>0</v>
      </c>
      <c r="R25" s="19" t="n">
        <f aca="false">IF(OR(A25="",H25=""),0,IF(H25&lt;J25,1,0))</f>
        <v>0</v>
      </c>
    </row>
    <row r="26" customFormat="false" ht="15" hidden="false" customHeight="false" outlineLevel="0" collapsed="false">
      <c r="A26" s="16"/>
      <c r="B26" s="17"/>
      <c r="C26" s="18"/>
      <c r="D26" s="17"/>
      <c r="E26" s="17"/>
      <c r="F26" s="17"/>
      <c r="G26" s="17"/>
      <c r="H26" s="17"/>
      <c r="I26" s="19" t="str">
        <f aca="false">IF(A26="","",D26*(E26-F26))</f>
        <v/>
      </c>
      <c r="J26" s="19" t="str">
        <f aca="false">IF(A26="","",IFERROR(INDEX(设定!$B$5:$B$14,MATCH(C26,设定!$A$5:$A$14,0)),0))</f>
        <v/>
      </c>
      <c r="K26" s="20" t="str">
        <f aca="false">IF(A26="","",G26*J26/1000)</f>
        <v/>
      </c>
      <c r="L26" s="20" t="str">
        <f aca="false">IF(A26="","",I26*IFERROR(INDEX(设定!$C$5:$C$14,MATCH(C26,设定!$A$5:$A$14,0)),0))</f>
        <v/>
      </c>
      <c r="M26" s="21" t="str">
        <f aca="false">IF(A26="","",IF(L26&gt;0,K26/L26,0))</f>
        <v/>
      </c>
      <c r="N26" s="21" t="str">
        <f aca="false">IF(OR(A26="",H26=""),"",IF(J26&gt;0,(H26-J26)/J26,0))</f>
        <v/>
      </c>
      <c r="O26" s="22" t="str">
        <f aca="false">IF(OR(A26="",H26=""),"",IF(H26&lt;J26,"⚠ 低于标示",""))</f>
        <v/>
      </c>
      <c r="P26" s="19" t="n">
        <f aca="false">IF(OR(A26="",H26=""),0,G26*(H26-J26))</f>
        <v>0</v>
      </c>
      <c r="Q26" s="19" t="n">
        <f aca="false">IF(OR(A26="",H26=""),0,G26*J26)</f>
        <v>0</v>
      </c>
      <c r="R26" s="19" t="n">
        <f aca="false">IF(OR(A26="",H26=""),0,IF(H26&lt;J26,1,0))</f>
        <v>0</v>
      </c>
    </row>
    <row r="27" customFormat="false" ht="15" hidden="false" customHeight="false" outlineLevel="0" collapsed="false">
      <c r="A27" s="16"/>
      <c r="B27" s="17"/>
      <c r="C27" s="18"/>
      <c r="D27" s="17"/>
      <c r="E27" s="17"/>
      <c r="F27" s="17"/>
      <c r="G27" s="17"/>
      <c r="H27" s="17"/>
      <c r="I27" s="19" t="str">
        <f aca="false">IF(A27="","",D27*(E27-F27))</f>
        <v/>
      </c>
      <c r="J27" s="19" t="str">
        <f aca="false">IF(A27="","",IFERROR(INDEX(设定!$B$5:$B$14,MATCH(C27,设定!$A$5:$A$14,0)),0))</f>
        <v/>
      </c>
      <c r="K27" s="20" t="str">
        <f aca="false">IF(A27="","",G27*J27/1000)</f>
        <v/>
      </c>
      <c r="L27" s="20" t="str">
        <f aca="false">IF(A27="","",I27*IFERROR(INDEX(设定!$C$5:$C$14,MATCH(C27,设定!$A$5:$A$14,0)),0))</f>
        <v/>
      </c>
      <c r="M27" s="21" t="str">
        <f aca="false">IF(A27="","",IF(L27&gt;0,K27/L27,0))</f>
        <v/>
      </c>
      <c r="N27" s="21" t="str">
        <f aca="false">IF(OR(A27="",H27=""),"",IF(J27&gt;0,(H27-J27)/J27,0))</f>
        <v/>
      </c>
      <c r="O27" s="22" t="str">
        <f aca="false">IF(OR(A27="",H27=""),"",IF(H27&lt;J27,"⚠ 低于标示",""))</f>
        <v/>
      </c>
      <c r="P27" s="19" t="n">
        <f aca="false">IF(OR(A27="",H27=""),0,G27*(H27-J27))</f>
        <v>0</v>
      </c>
      <c r="Q27" s="19" t="n">
        <f aca="false">IF(OR(A27="",H27=""),0,G27*J27)</f>
        <v>0</v>
      </c>
      <c r="R27" s="19" t="n">
        <f aca="false">IF(OR(A27="",H27=""),0,IF(H27&lt;J27,1,0))</f>
        <v>0</v>
      </c>
    </row>
    <row r="28" customFormat="false" ht="15" hidden="false" customHeight="false" outlineLevel="0" collapsed="false">
      <c r="A28" s="16"/>
      <c r="B28" s="17"/>
      <c r="C28" s="18"/>
      <c r="D28" s="17"/>
      <c r="E28" s="17"/>
      <c r="F28" s="17"/>
      <c r="G28" s="17"/>
      <c r="H28" s="17"/>
      <c r="I28" s="19" t="str">
        <f aca="false">IF(A28="","",D28*(E28-F28))</f>
        <v/>
      </c>
      <c r="J28" s="19" t="str">
        <f aca="false">IF(A28="","",IFERROR(INDEX(设定!$B$5:$B$14,MATCH(C28,设定!$A$5:$A$14,0)),0))</f>
        <v/>
      </c>
      <c r="K28" s="20" t="str">
        <f aca="false">IF(A28="","",G28*J28/1000)</f>
        <v/>
      </c>
      <c r="L28" s="20" t="str">
        <f aca="false">IF(A28="","",I28*IFERROR(INDEX(设定!$C$5:$C$14,MATCH(C28,设定!$A$5:$A$14,0)),0))</f>
        <v/>
      </c>
      <c r="M28" s="21" t="str">
        <f aca="false">IF(A28="","",IF(L28&gt;0,K28/L28,0))</f>
        <v/>
      </c>
      <c r="N28" s="21" t="str">
        <f aca="false">IF(OR(A28="",H28=""),"",IF(J28&gt;0,(H28-J28)/J28,0))</f>
        <v/>
      </c>
      <c r="O28" s="22" t="str">
        <f aca="false">IF(OR(A28="",H28=""),"",IF(H28&lt;J28,"⚠ 低于标示",""))</f>
        <v/>
      </c>
      <c r="P28" s="19" t="n">
        <f aca="false">IF(OR(A28="",H28=""),0,G28*(H28-J28))</f>
        <v>0</v>
      </c>
      <c r="Q28" s="19" t="n">
        <f aca="false">IF(OR(A28="",H28=""),0,G28*J28)</f>
        <v>0</v>
      </c>
      <c r="R28" s="19" t="n">
        <f aca="false">IF(OR(A28="",H28=""),0,IF(H28&lt;J28,1,0))</f>
        <v>0</v>
      </c>
    </row>
    <row r="29" customFormat="false" ht="15" hidden="false" customHeight="false" outlineLevel="0" collapsed="false">
      <c r="A29" s="16"/>
      <c r="B29" s="17"/>
      <c r="C29" s="18"/>
      <c r="D29" s="17"/>
      <c r="E29" s="17"/>
      <c r="F29" s="17"/>
      <c r="G29" s="17"/>
      <c r="H29" s="17"/>
      <c r="I29" s="19" t="str">
        <f aca="false">IF(A29="","",D29*(E29-F29))</f>
        <v/>
      </c>
      <c r="J29" s="19" t="str">
        <f aca="false">IF(A29="","",IFERROR(INDEX(设定!$B$5:$B$14,MATCH(C29,设定!$A$5:$A$14,0)),0))</f>
        <v/>
      </c>
      <c r="K29" s="20" t="str">
        <f aca="false">IF(A29="","",G29*J29/1000)</f>
        <v/>
      </c>
      <c r="L29" s="20" t="str">
        <f aca="false">IF(A29="","",I29*IFERROR(INDEX(设定!$C$5:$C$14,MATCH(C29,设定!$A$5:$A$14,0)),0))</f>
        <v/>
      </c>
      <c r="M29" s="21" t="str">
        <f aca="false">IF(A29="","",IF(L29&gt;0,K29/L29,0))</f>
        <v/>
      </c>
      <c r="N29" s="21" t="str">
        <f aca="false">IF(OR(A29="",H29=""),"",IF(J29&gt;0,(H29-J29)/J29,0))</f>
        <v/>
      </c>
      <c r="O29" s="22" t="str">
        <f aca="false">IF(OR(A29="",H29=""),"",IF(H29&lt;J29,"⚠ 低于标示",""))</f>
        <v/>
      </c>
      <c r="P29" s="19" t="n">
        <f aca="false">IF(OR(A29="",H29=""),0,G29*(H29-J29))</f>
        <v>0</v>
      </c>
      <c r="Q29" s="19" t="n">
        <f aca="false">IF(OR(A29="",H29=""),0,G29*J29)</f>
        <v>0</v>
      </c>
      <c r="R29" s="19" t="n">
        <f aca="false">IF(OR(A29="",H29=""),0,IF(H29&lt;J29,1,0))</f>
        <v>0</v>
      </c>
    </row>
    <row r="30" customFormat="false" ht="15" hidden="false" customHeight="false" outlineLevel="0" collapsed="false">
      <c r="A30" s="16"/>
      <c r="B30" s="17"/>
      <c r="C30" s="18"/>
      <c r="D30" s="17"/>
      <c r="E30" s="17"/>
      <c r="F30" s="17"/>
      <c r="G30" s="17"/>
      <c r="H30" s="17"/>
      <c r="I30" s="19" t="str">
        <f aca="false">IF(A30="","",D30*(E30-F30))</f>
        <v/>
      </c>
      <c r="J30" s="19" t="str">
        <f aca="false">IF(A30="","",IFERROR(INDEX(设定!$B$5:$B$14,MATCH(C30,设定!$A$5:$A$14,0)),0))</f>
        <v/>
      </c>
      <c r="K30" s="20" t="str">
        <f aca="false">IF(A30="","",G30*J30/1000)</f>
        <v/>
      </c>
      <c r="L30" s="20" t="str">
        <f aca="false">IF(A30="","",I30*IFERROR(INDEX(设定!$C$5:$C$14,MATCH(C30,设定!$A$5:$A$14,0)),0))</f>
        <v/>
      </c>
      <c r="M30" s="21" t="str">
        <f aca="false">IF(A30="","",IF(L30&gt;0,K30/L30,0))</f>
        <v/>
      </c>
      <c r="N30" s="21" t="str">
        <f aca="false">IF(OR(A30="",H30=""),"",IF(J30&gt;0,(H30-J30)/J30,0))</f>
        <v/>
      </c>
      <c r="O30" s="22" t="str">
        <f aca="false">IF(OR(A30="",H30=""),"",IF(H30&lt;J30,"⚠ 低于标示",""))</f>
        <v/>
      </c>
      <c r="P30" s="19" t="n">
        <f aca="false">IF(OR(A30="",H30=""),0,G30*(H30-J30))</f>
        <v>0</v>
      </c>
      <c r="Q30" s="19" t="n">
        <f aca="false">IF(OR(A30="",H30=""),0,G30*J30)</f>
        <v>0</v>
      </c>
      <c r="R30" s="19" t="n">
        <f aca="false">IF(OR(A30="",H30=""),0,IF(H30&lt;J30,1,0))</f>
        <v>0</v>
      </c>
    </row>
    <row r="31" customFormat="false" ht="15" hidden="false" customHeight="false" outlineLevel="0" collapsed="false">
      <c r="A31" s="16"/>
      <c r="B31" s="17"/>
      <c r="C31" s="18"/>
      <c r="D31" s="17"/>
      <c r="E31" s="17"/>
      <c r="F31" s="17"/>
      <c r="G31" s="17"/>
      <c r="H31" s="17"/>
      <c r="I31" s="19" t="str">
        <f aca="false">IF(A31="","",D31*(E31-F31))</f>
        <v/>
      </c>
      <c r="J31" s="19" t="str">
        <f aca="false">IF(A31="","",IFERROR(INDEX(设定!$B$5:$B$14,MATCH(C31,设定!$A$5:$A$14,0)),0))</f>
        <v/>
      </c>
      <c r="K31" s="20" t="str">
        <f aca="false">IF(A31="","",G31*J31/1000)</f>
        <v/>
      </c>
      <c r="L31" s="20" t="str">
        <f aca="false">IF(A31="","",I31*IFERROR(INDEX(设定!$C$5:$C$14,MATCH(C31,设定!$A$5:$A$14,0)),0))</f>
        <v/>
      </c>
      <c r="M31" s="21" t="str">
        <f aca="false">IF(A31="","",IF(L31&gt;0,K31/L31,0))</f>
        <v/>
      </c>
      <c r="N31" s="21" t="str">
        <f aca="false">IF(OR(A31="",H31=""),"",IF(J31&gt;0,(H31-J31)/J31,0))</f>
        <v/>
      </c>
      <c r="O31" s="22" t="str">
        <f aca="false">IF(OR(A31="",H31=""),"",IF(H31&lt;J31,"⚠ 低于标示",""))</f>
        <v/>
      </c>
      <c r="P31" s="19" t="n">
        <f aca="false">IF(OR(A31="",H31=""),0,G31*(H31-J31))</f>
        <v>0</v>
      </c>
      <c r="Q31" s="19" t="n">
        <f aca="false">IF(OR(A31="",H31=""),0,G31*J31)</f>
        <v>0</v>
      </c>
      <c r="R31" s="19" t="n">
        <f aca="false">IF(OR(A31="",H31=""),0,IF(H31&lt;J31,1,0))</f>
        <v>0</v>
      </c>
    </row>
    <row r="32" customFormat="false" ht="15" hidden="false" customHeight="false" outlineLevel="0" collapsed="false">
      <c r="A32" s="16"/>
      <c r="B32" s="17"/>
      <c r="C32" s="18"/>
      <c r="D32" s="17"/>
      <c r="E32" s="17"/>
      <c r="F32" s="17"/>
      <c r="G32" s="17"/>
      <c r="H32" s="17"/>
      <c r="I32" s="19" t="str">
        <f aca="false">IF(A32="","",D32*(E32-F32))</f>
        <v/>
      </c>
      <c r="J32" s="19" t="str">
        <f aca="false">IF(A32="","",IFERROR(INDEX(设定!$B$5:$B$14,MATCH(C32,设定!$A$5:$A$14,0)),0))</f>
        <v/>
      </c>
      <c r="K32" s="20" t="str">
        <f aca="false">IF(A32="","",G32*J32/1000)</f>
        <v/>
      </c>
      <c r="L32" s="20" t="str">
        <f aca="false">IF(A32="","",I32*IFERROR(INDEX(设定!$C$5:$C$14,MATCH(C32,设定!$A$5:$A$14,0)),0))</f>
        <v/>
      </c>
      <c r="M32" s="21" t="str">
        <f aca="false">IF(A32="","",IF(L32&gt;0,K32/L32,0))</f>
        <v/>
      </c>
      <c r="N32" s="21" t="str">
        <f aca="false">IF(OR(A32="",H32=""),"",IF(J32&gt;0,(H32-J32)/J32,0))</f>
        <v/>
      </c>
      <c r="O32" s="22" t="str">
        <f aca="false">IF(OR(A32="",H32=""),"",IF(H32&lt;J32,"⚠ 低于标示",""))</f>
        <v/>
      </c>
      <c r="P32" s="19" t="n">
        <f aca="false">IF(OR(A32="",H32=""),0,G32*(H32-J32))</f>
        <v>0</v>
      </c>
      <c r="Q32" s="19" t="n">
        <f aca="false">IF(OR(A32="",H32=""),0,G32*J32)</f>
        <v>0</v>
      </c>
      <c r="R32" s="19" t="n">
        <f aca="false">IF(OR(A32="",H32=""),0,IF(H32&lt;J32,1,0))</f>
        <v>0</v>
      </c>
    </row>
    <row r="33" customFormat="false" ht="15" hidden="false" customHeight="false" outlineLevel="0" collapsed="false">
      <c r="A33" s="16"/>
      <c r="B33" s="17"/>
      <c r="C33" s="18"/>
      <c r="D33" s="17"/>
      <c r="E33" s="17"/>
      <c r="F33" s="17"/>
      <c r="G33" s="17"/>
      <c r="H33" s="17"/>
      <c r="I33" s="19" t="str">
        <f aca="false">IF(A33="","",D33*(E33-F33))</f>
        <v/>
      </c>
      <c r="J33" s="19" t="str">
        <f aca="false">IF(A33="","",IFERROR(INDEX(设定!$B$5:$B$14,MATCH(C33,设定!$A$5:$A$14,0)),0))</f>
        <v/>
      </c>
      <c r="K33" s="20" t="str">
        <f aca="false">IF(A33="","",G33*J33/1000)</f>
        <v/>
      </c>
      <c r="L33" s="20" t="str">
        <f aca="false">IF(A33="","",I33*IFERROR(INDEX(设定!$C$5:$C$14,MATCH(C33,设定!$A$5:$A$14,0)),0))</f>
        <v/>
      </c>
      <c r="M33" s="21" t="str">
        <f aca="false">IF(A33="","",IF(L33&gt;0,K33/L33,0))</f>
        <v/>
      </c>
      <c r="N33" s="21" t="str">
        <f aca="false">IF(OR(A33="",H33=""),"",IF(J33&gt;0,(H33-J33)/J33,0))</f>
        <v/>
      </c>
      <c r="O33" s="22" t="str">
        <f aca="false">IF(OR(A33="",H33=""),"",IF(H33&lt;J33,"⚠ 低于标示",""))</f>
        <v/>
      </c>
      <c r="P33" s="19" t="n">
        <f aca="false">IF(OR(A33="",H33=""),0,G33*(H33-J33))</f>
        <v>0</v>
      </c>
      <c r="Q33" s="19" t="n">
        <f aca="false">IF(OR(A33="",H33=""),0,G33*J33)</f>
        <v>0</v>
      </c>
      <c r="R33" s="19" t="n">
        <f aca="false">IF(OR(A33="",H33=""),0,IF(H33&lt;J33,1,0))</f>
        <v>0</v>
      </c>
    </row>
    <row r="34" customFormat="false" ht="15" hidden="false" customHeight="false" outlineLevel="0" collapsed="false">
      <c r="A34" s="16"/>
      <c r="B34" s="17"/>
      <c r="C34" s="18"/>
      <c r="D34" s="17"/>
      <c r="E34" s="17"/>
      <c r="F34" s="17"/>
      <c r="G34" s="17"/>
      <c r="H34" s="17"/>
      <c r="I34" s="19" t="str">
        <f aca="false">IF(A34="","",D34*(E34-F34))</f>
        <v/>
      </c>
      <c r="J34" s="19" t="str">
        <f aca="false">IF(A34="","",IFERROR(INDEX(设定!$B$5:$B$14,MATCH(C34,设定!$A$5:$A$14,0)),0))</f>
        <v/>
      </c>
      <c r="K34" s="20" t="str">
        <f aca="false">IF(A34="","",G34*J34/1000)</f>
        <v/>
      </c>
      <c r="L34" s="20" t="str">
        <f aca="false">IF(A34="","",I34*IFERROR(INDEX(设定!$C$5:$C$14,MATCH(C34,设定!$A$5:$A$14,0)),0))</f>
        <v/>
      </c>
      <c r="M34" s="21" t="str">
        <f aca="false">IF(A34="","",IF(L34&gt;0,K34/L34,0))</f>
        <v/>
      </c>
      <c r="N34" s="21" t="str">
        <f aca="false">IF(OR(A34="",H34=""),"",IF(J34&gt;0,(H34-J34)/J34,0))</f>
        <v/>
      </c>
      <c r="O34" s="22" t="str">
        <f aca="false">IF(OR(A34="",H34=""),"",IF(H34&lt;J34,"⚠ 低于标示",""))</f>
        <v/>
      </c>
      <c r="P34" s="19" t="n">
        <f aca="false">IF(OR(A34="",H34=""),0,G34*(H34-J34))</f>
        <v>0</v>
      </c>
      <c r="Q34" s="19" t="n">
        <f aca="false">IF(OR(A34="",H34=""),0,G34*J34)</f>
        <v>0</v>
      </c>
      <c r="R34" s="19" t="n">
        <f aca="false">IF(OR(A34="",H34=""),0,IF(H34&lt;J34,1,0))</f>
        <v>0</v>
      </c>
    </row>
    <row r="35" customFormat="false" ht="15" hidden="false" customHeight="false" outlineLevel="0" collapsed="false">
      <c r="A35" s="16"/>
      <c r="B35" s="17"/>
      <c r="C35" s="18"/>
      <c r="D35" s="17"/>
      <c r="E35" s="17"/>
      <c r="F35" s="17"/>
      <c r="G35" s="17"/>
      <c r="H35" s="17"/>
      <c r="I35" s="19" t="str">
        <f aca="false">IF(A35="","",D35*(E35-F35))</f>
        <v/>
      </c>
      <c r="J35" s="19" t="str">
        <f aca="false">IF(A35="","",IFERROR(INDEX(设定!$B$5:$B$14,MATCH(C35,设定!$A$5:$A$14,0)),0))</f>
        <v/>
      </c>
      <c r="K35" s="20" t="str">
        <f aca="false">IF(A35="","",G35*J35/1000)</f>
        <v/>
      </c>
      <c r="L35" s="20" t="str">
        <f aca="false">IF(A35="","",I35*IFERROR(INDEX(设定!$C$5:$C$14,MATCH(C35,设定!$A$5:$A$14,0)),0))</f>
        <v/>
      </c>
      <c r="M35" s="21" t="str">
        <f aca="false">IF(A35="","",IF(L35&gt;0,K35/L35,0))</f>
        <v/>
      </c>
      <c r="N35" s="21" t="str">
        <f aca="false">IF(OR(A35="",H35=""),"",IF(J35&gt;0,(H35-J35)/J35,0))</f>
        <v/>
      </c>
      <c r="O35" s="22" t="str">
        <f aca="false">IF(OR(A35="",H35=""),"",IF(H35&lt;J35,"⚠ 低于标示",""))</f>
        <v/>
      </c>
      <c r="P35" s="19" t="n">
        <f aca="false">IF(OR(A35="",H35=""),0,G35*(H35-J35))</f>
        <v>0</v>
      </c>
      <c r="Q35" s="19" t="n">
        <f aca="false">IF(OR(A35="",H35=""),0,G35*J35)</f>
        <v>0</v>
      </c>
      <c r="R35" s="19" t="n">
        <f aca="false">IF(OR(A35="",H35=""),0,IF(H35&lt;J35,1,0))</f>
        <v>0</v>
      </c>
    </row>
    <row r="36" customFormat="false" ht="15" hidden="false" customHeight="false" outlineLevel="0" collapsed="false">
      <c r="A36" s="16"/>
      <c r="B36" s="17"/>
      <c r="C36" s="18"/>
      <c r="D36" s="17"/>
      <c r="E36" s="17"/>
      <c r="F36" s="17"/>
      <c r="G36" s="17"/>
      <c r="H36" s="17"/>
      <c r="I36" s="19" t="str">
        <f aca="false">IF(A36="","",D36*(E36-F36))</f>
        <v/>
      </c>
      <c r="J36" s="19" t="str">
        <f aca="false">IF(A36="","",IFERROR(INDEX(设定!$B$5:$B$14,MATCH(C36,设定!$A$5:$A$14,0)),0))</f>
        <v/>
      </c>
      <c r="K36" s="20" t="str">
        <f aca="false">IF(A36="","",G36*J36/1000)</f>
        <v/>
      </c>
      <c r="L36" s="20" t="str">
        <f aca="false">IF(A36="","",I36*IFERROR(INDEX(设定!$C$5:$C$14,MATCH(C36,设定!$A$5:$A$14,0)),0))</f>
        <v/>
      </c>
      <c r="M36" s="21" t="str">
        <f aca="false">IF(A36="","",IF(L36&gt;0,K36/L36,0))</f>
        <v/>
      </c>
      <c r="N36" s="21" t="str">
        <f aca="false">IF(OR(A36="",H36=""),"",IF(J36&gt;0,(H36-J36)/J36,0))</f>
        <v/>
      </c>
      <c r="O36" s="22" t="str">
        <f aca="false">IF(OR(A36="",H36=""),"",IF(H36&lt;J36,"⚠ 低于标示",""))</f>
        <v/>
      </c>
      <c r="P36" s="19" t="n">
        <f aca="false">IF(OR(A36="",H36=""),0,G36*(H36-J36))</f>
        <v>0</v>
      </c>
      <c r="Q36" s="19" t="n">
        <f aca="false">IF(OR(A36="",H36=""),0,G36*J36)</f>
        <v>0</v>
      </c>
      <c r="R36" s="19" t="n">
        <f aca="false">IF(OR(A36="",H36=""),0,IF(H36&lt;J36,1,0))</f>
        <v>0</v>
      </c>
    </row>
    <row r="37" customFormat="false" ht="15" hidden="false" customHeight="false" outlineLevel="0" collapsed="false">
      <c r="A37" s="16"/>
      <c r="B37" s="17"/>
      <c r="C37" s="18"/>
      <c r="D37" s="17"/>
      <c r="E37" s="17"/>
      <c r="F37" s="17"/>
      <c r="G37" s="17"/>
      <c r="H37" s="17"/>
      <c r="I37" s="19" t="str">
        <f aca="false">IF(A37="","",D37*(E37-F37))</f>
        <v/>
      </c>
      <c r="J37" s="19" t="str">
        <f aca="false">IF(A37="","",IFERROR(INDEX(设定!$B$5:$B$14,MATCH(C37,设定!$A$5:$A$14,0)),0))</f>
        <v/>
      </c>
      <c r="K37" s="20" t="str">
        <f aca="false">IF(A37="","",G37*J37/1000)</f>
        <v/>
      </c>
      <c r="L37" s="20" t="str">
        <f aca="false">IF(A37="","",I37*IFERROR(INDEX(设定!$C$5:$C$14,MATCH(C37,设定!$A$5:$A$14,0)),0))</f>
        <v/>
      </c>
      <c r="M37" s="21" t="str">
        <f aca="false">IF(A37="","",IF(L37&gt;0,K37/L37,0))</f>
        <v/>
      </c>
      <c r="N37" s="21" t="str">
        <f aca="false">IF(OR(A37="",H37=""),"",IF(J37&gt;0,(H37-J37)/J37,0))</f>
        <v/>
      </c>
      <c r="O37" s="22" t="str">
        <f aca="false">IF(OR(A37="",H37=""),"",IF(H37&lt;J37,"⚠ 低于标示",""))</f>
        <v/>
      </c>
      <c r="P37" s="19" t="n">
        <f aca="false">IF(OR(A37="",H37=""),0,G37*(H37-J37))</f>
        <v>0</v>
      </c>
      <c r="Q37" s="19" t="n">
        <f aca="false">IF(OR(A37="",H37=""),0,G37*J37)</f>
        <v>0</v>
      </c>
      <c r="R37" s="19" t="n">
        <f aca="false">IF(OR(A37="",H37=""),0,IF(H37&lt;J37,1,0))</f>
        <v>0</v>
      </c>
    </row>
    <row r="38" customFormat="false" ht="15" hidden="false" customHeight="false" outlineLevel="0" collapsed="false">
      <c r="A38" s="16"/>
      <c r="B38" s="17"/>
      <c r="C38" s="18"/>
      <c r="D38" s="17"/>
      <c r="E38" s="17"/>
      <c r="F38" s="17"/>
      <c r="G38" s="17"/>
      <c r="H38" s="17"/>
      <c r="I38" s="19" t="str">
        <f aca="false">IF(A38="","",D38*(E38-F38))</f>
        <v/>
      </c>
      <c r="J38" s="19" t="str">
        <f aca="false">IF(A38="","",IFERROR(INDEX(设定!$B$5:$B$14,MATCH(C38,设定!$A$5:$A$14,0)),0))</f>
        <v/>
      </c>
      <c r="K38" s="20" t="str">
        <f aca="false">IF(A38="","",G38*J38/1000)</f>
        <v/>
      </c>
      <c r="L38" s="20" t="str">
        <f aca="false">IF(A38="","",I38*IFERROR(INDEX(设定!$C$5:$C$14,MATCH(C38,设定!$A$5:$A$14,0)),0))</f>
        <v/>
      </c>
      <c r="M38" s="21" t="str">
        <f aca="false">IF(A38="","",IF(L38&gt;0,K38/L38,0))</f>
        <v/>
      </c>
      <c r="N38" s="21" t="str">
        <f aca="false">IF(OR(A38="",H38=""),"",IF(J38&gt;0,(H38-J38)/J38,0))</f>
        <v/>
      </c>
      <c r="O38" s="22" t="str">
        <f aca="false">IF(OR(A38="",H38=""),"",IF(H38&lt;J38,"⚠ 低于标示",""))</f>
        <v/>
      </c>
      <c r="P38" s="19" t="n">
        <f aca="false">IF(OR(A38="",H38=""),0,G38*(H38-J38))</f>
        <v>0</v>
      </c>
      <c r="Q38" s="19" t="n">
        <f aca="false">IF(OR(A38="",H38=""),0,G38*J38)</f>
        <v>0</v>
      </c>
      <c r="R38" s="19" t="n">
        <f aca="false">IF(OR(A38="",H38=""),0,IF(H38&lt;J38,1,0))</f>
        <v>0</v>
      </c>
    </row>
    <row r="39" customFormat="false" ht="15" hidden="false" customHeight="false" outlineLevel="0" collapsed="false">
      <c r="A39" s="16"/>
      <c r="B39" s="17"/>
      <c r="C39" s="18"/>
      <c r="D39" s="17"/>
      <c r="E39" s="17"/>
      <c r="F39" s="17"/>
      <c r="G39" s="17"/>
      <c r="H39" s="17"/>
      <c r="I39" s="19" t="str">
        <f aca="false">IF(A39="","",D39*(E39-F39))</f>
        <v/>
      </c>
      <c r="J39" s="19" t="str">
        <f aca="false">IF(A39="","",IFERROR(INDEX(设定!$B$5:$B$14,MATCH(C39,设定!$A$5:$A$14,0)),0))</f>
        <v/>
      </c>
      <c r="K39" s="20" t="str">
        <f aca="false">IF(A39="","",G39*J39/1000)</f>
        <v/>
      </c>
      <c r="L39" s="20" t="str">
        <f aca="false">IF(A39="","",I39*IFERROR(INDEX(设定!$C$5:$C$14,MATCH(C39,设定!$A$5:$A$14,0)),0))</f>
        <v/>
      </c>
      <c r="M39" s="21" t="str">
        <f aca="false">IF(A39="","",IF(L39&gt;0,K39/L39,0))</f>
        <v/>
      </c>
      <c r="N39" s="21" t="str">
        <f aca="false">IF(OR(A39="",H39=""),"",IF(J39&gt;0,(H39-J39)/J39,0))</f>
        <v/>
      </c>
      <c r="O39" s="22" t="str">
        <f aca="false">IF(OR(A39="",H39=""),"",IF(H39&lt;J39,"⚠ 低于标示",""))</f>
        <v/>
      </c>
      <c r="P39" s="19" t="n">
        <f aca="false">IF(OR(A39="",H39=""),0,G39*(H39-J39))</f>
        <v>0</v>
      </c>
      <c r="Q39" s="19" t="n">
        <f aca="false">IF(OR(A39="",H39=""),0,G39*J39)</f>
        <v>0</v>
      </c>
      <c r="R39" s="19" t="n">
        <f aca="false">IF(OR(A39="",H39=""),0,IF(H39&lt;J39,1,0))</f>
        <v>0</v>
      </c>
    </row>
    <row r="40" customFormat="false" ht="15" hidden="false" customHeight="false" outlineLevel="0" collapsed="false">
      <c r="A40" s="16"/>
      <c r="B40" s="17"/>
      <c r="C40" s="18"/>
      <c r="D40" s="17"/>
      <c r="E40" s="17"/>
      <c r="F40" s="17"/>
      <c r="G40" s="17"/>
      <c r="H40" s="17"/>
      <c r="I40" s="19" t="str">
        <f aca="false">IF(A40="","",D40*(E40-F40))</f>
        <v/>
      </c>
      <c r="J40" s="19" t="str">
        <f aca="false">IF(A40="","",IFERROR(INDEX(设定!$B$5:$B$14,MATCH(C40,设定!$A$5:$A$14,0)),0))</f>
        <v/>
      </c>
      <c r="K40" s="20" t="str">
        <f aca="false">IF(A40="","",G40*J40/1000)</f>
        <v/>
      </c>
      <c r="L40" s="20" t="str">
        <f aca="false">IF(A40="","",I40*IFERROR(INDEX(设定!$C$5:$C$14,MATCH(C40,设定!$A$5:$A$14,0)),0))</f>
        <v/>
      </c>
      <c r="M40" s="21" t="str">
        <f aca="false">IF(A40="","",IF(L40&gt;0,K40/L40,0))</f>
        <v/>
      </c>
      <c r="N40" s="21" t="str">
        <f aca="false">IF(OR(A40="",H40=""),"",IF(J40&gt;0,(H40-J40)/J40,0))</f>
        <v/>
      </c>
      <c r="O40" s="22" t="str">
        <f aca="false">IF(OR(A40="",H40=""),"",IF(H40&lt;J40,"⚠ 低于标示",""))</f>
        <v/>
      </c>
      <c r="P40" s="19" t="n">
        <f aca="false">IF(OR(A40="",H40=""),0,G40*(H40-J40))</f>
        <v>0</v>
      </c>
      <c r="Q40" s="19" t="n">
        <f aca="false">IF(OR(A40="",H40=""),0,G40*J40)</f>
        <v>0</v>
      </c>
      <c r="R40" s="19" t="n">
        <f aca="false">IF(OR(A40="",H40=""),0,IF(H40&lt;J40,1,0))</f>
        <v>0</v>
      </c>
    </row>
    <row r="41" customFormat="false" ht="15" hidden="false" customHeight="false" outlineLevel="0" collapsed="false">
      <c r="A41" s="16"/>
      <c r="B41" s="17"/>
      <c r="C41" s="18"/>
      <c r="D41" s="17"/>
      <c r="E41" s="17"/>
      <c r="F41" s="17"/>
      <c r="G41" s="17"/>
      <c r="H41" s="17"/>
      <c r="I41" s="19" t="str">
        <f aca="false">IF(A41="","",D41*(E41-F41))</f>
        <v/>
      </c>
      <c r="J41" s="19" t="str">
        <f aca="false">IF(A41="","",IFERROR(INDEX(设定!$B$5:$B$14,MATCH(C41,设定!$A$5:$A$14,0)),0))</f>
        <v/>
      </c>
      <c r="K41" s="20" t="str">
        <f aca="false">IF(A41="","",G41*J41/1000)</f>
        <v/>
      </c>
      <c r="L41" s="20" t="str">
        <f aca="false">IF(A41="","",I41*IFERROR(INDEX(设定!$C$5:$C$14,MATCH(C41,设定!$A$5:$A$14,0)),0))</f>
        <v/>
      </c>
      <c r="M41" s="21" t="str">
        <f aca="false">IF(A41="","",IF(L41&gt;0,K41/L41,0))</f>
        <v/>
      </c>
      <c r="N41" s="21" t="str">
        <f aca="false">IF(OR(A41="",H41=""),"",IF(J41&gt;0,(H41-J41)/J41,0))</f>
        <v/>
      </c>
      <c r="O41" s="22" t="str">
        <f aca="false">IF(OR(A41="",H41=""),"",IF(H41&lt;J41,"⚠ 低于标示",""))</f>
        <v/>
      </c>
      <c r="P41" s="19" t="n">
        <f aca="false">IF(OR(A41="",H41=""),0,G41*(H41-J41))</f>
        <v>0</v>
      </c>
      <c r="Q41" s="19" t="n">
        <f aca="false">IF(OR(A41="",H41=""),0,G41*J41)</f>
        <v>0</v>
      </c>
      <c r="R41" s="19" t="n">
        <f aca="false">IF(OR(A41="",H41=""),0,IF(H41&lt;J41,1,0))</f>
        <v>0</v>
      </c>
    </row>
    <row r="42" customFormat="false" ht="15" hidden="false" customHeight="false" outlineLevel="0" collapsed="false">
      <c r="A42" s="16"/>
      <c r="B42" s="17"/>
      <c r="C42" s="18"/>
      <c r="D42" s="17"/>
      <c r="E42" s="17"/>
      <c r="F42" s="17"/>
      <c r="G42" s="17"/>
      <c r="H42" s="17"/>
      <c r="I42" s="19" t="str">
        <f aca="false">IF(A42="","",D42*(E42-F42))</f>
        <v/>
      </c>
      <c r="J42" s="19" t="str">
        <f aca="false">IF(A42="","",IFERROR(INDEX(设定!$B$5:$B$14,MATCH(C42,设定!$A$5:$A$14,0)),0))</f>
        <v/>
      </c>
      <c r="K42" s="20" t="str">
        <f aca="false">IF(A42="","",G42*J42/1000)</f>
        <v/>
      </c>
      <c r="L42" s="20" t="str">
        <f aca="false">IF(A42="","",I42*IFERROR(INDEX(设定!$C$5:$C$14,MATCH(C42,设定!$A$5:$A$14,0)),0))</f>
        <v/>
      </c>
      <c r="M42" s="21" t="str">
        <f aca="false">IF(A42="","",IF(L42&gt;0,K42/L42,0))</f>
        <v/>
      </c>
      <c r="N42" s="21" t="str">
        <f aca="false">IF(OR(A42="",H42=""),"",IF(J42&gt;0,(H42-J42)/J42,0))</f>
        <v/>
      </c>
      <c r="O42" s="22" t="str">
        <f aca="false">IF(OR(A42="",H42=""),"",IF(H42&lt;J42,"⚠ 低于标示",""))</f>
        <v/>
      </c>
      <c r="P42" s="19" t="n">
        <f aca="false">IF(OR(A42="",H42=""),0,G42*(H42-J42))</f>
        <v>0</v>
      </c>
      <c r="Q42" s="19" t="n">
        <f aca="false">IF(OR(A42="",H42=""),0,G42*J42)</f>
        <v>0</v>
      </c>
      <c r="R42" s="19" t="n">
        <f aca="false">IF(OR(A42="",H42=""),0,IF(H42&lt;J42,1,0))</f>
        <v>0</v>
      </c>
    </row>
    <row r="43" customFormat="false" ht="15" hidden="false" customHeight="false" outlineLevel="0" collapsed="false">
      <c r="A43" s="16"/>
      <c r="B43" s="17"/>
      <c r="C43" s="18"/>
      <c r="D43" s="17"/>
      <c r="E43" s="17"/>
      <c r="F43" s="17"/>
      <c r="G43" s="17"/>
      <c r="H43" s="17"/>
      <c r="I43" s="19" t="str">
        <f aca="false">IF(A43="","",D43*(E43-F43))</f>
        <v/>
      </c>
      <c r="J43" s="19" t="str">
        <f aca="false">IF(A43="","",IFERROR(INDEX(设定!$B$5:$B$14,MATCH(C43,设定!$A$5:$A$14,0)),0))</f>
        <v/>
      </c>
      <c r="K43" s="20" t="str">
        <f aca="false">IF(A43="","",G43*J43/1000)</f>
        <v/>
      </c>
      <c r="L43" s="20" t="str">
        <f aca="false">IF(A43="","",I43*IFERROR(INDEX(设定!$C$5:$C$14,MATCH(C43,设定!$A$5:$A$14,0)),0))</f>
        <v/>
      </c>
      <c r="M43" s="21" t="str">
        <f aca="false">IF(A43="","",IF(L43&gt;0,K43/L43,0))</f>
        <v/>
      </c>
      <c r="N43" s="21" t="str">
        <f aca="false">IF(OR(A43="",H43=""),"",IF(J43&gt;0,(H43-J43)/J43,0))</f>
        <v/>
      </c>
      <c r="O43" s="22" t="str">
        <f aca="false">IF(OR(A43="",H43=""),"",IF(H43&lt;J43,"⚠ 低于标示",""))</f>
        <v/>
      </c>
      <c r="P43" s="19" t="n">
        <f aca="false">IF(OR(A43="",H43=""),0,G43*(H43-J43))</f>
        <v>0</v>
      </c>
      <c r="Q43" s="19" t="n">
        <f aca="false">IF(OR(A43="",H43=""),0,G43*J43)</f>
        <v>0</v>
      </c>
      <c r="R43" s="19" t="n">
        <f aca="false">IF(OR(A43="",H43=""),0,IF(H43&lt;J43,1,0))</f>
        <v>0</v>
      </c>
    </row>
    <row r="44" customFormat="false" ht="15" hidden="false" customHeight="false" outlineLevel="0" collapsed="false">
      <c r="A44" s="16"/>
      <c r="B44" s="17"/>
      <c r="C44" s="18"/>
      <c r="D44" s="17"/>
      <c r="E44" s="17"/>
      <c r="F44" s="17"/>
      <c r="G44" s="17"/>
      <c r="H44" s="17"/>
      <c r="I44" s="19" t="str">
        <f aca="false">IF(A44="","",D44*(E44-F44))</f>
        <v/>
      </c>
      <c r="J44" s="19" t="str">
        <f aca="false">IF(A44="","",IFERROR(INDEX(设定!$B$5:$B$14,MATCH(C44,设定!$A$5:$A$14,0)),0))</f>
        <v/>
      </c>
      <c r="K44" s="20" t="str">
        <f aca="false">IF(A44="","",G44*J44/1000)</f>
        <v/>
      </c>
      <c r="L44" s="20" t="str">
        <f aca="false">IF(A44="","",I44*IFERROR(INDEX(设定!$C$5:$C$14,MATCH(C44,设定!$A$5:$A$14,0)),0))</f>
        <v/>
      </c>
      <c r="M44" s="21" t="str">
        <f aca="false">IF(A44="","",IF(L44&gt;0,K44/L44,0))</f>
        <v/>
      </c>
      <c r="N44" s="21" t="str">
        <f aca="false">IF(OR(A44="",H44=""),"",IF(J44&gt;0,(H44-J44)/J44,0))</f>
        <v/>
      </c>
      <c r="O44" s="22" t="str">
        <f aca="false">IF(OR(A44="",H44=""),"",IF(H44&lt;J44,"⚠ 低于标示",""))</f>
        <v/>
      </c>
      <c r="P44" s="19" t="n">
        <f aca="false">IF(OR(A44="",H44=""),0,G44*(H44-J44))</f>
        <v>0</v>
      </c>
      <c r="Q44" s="19" t="n">
        <f aca="false">IF(OR(A44="",H44=""),0,G44*J44)</f>
        <v>0</v>
      </c>
      <c r="R44" s="19" t="n">
        <f aca="false">IF(OR(A44="",H44=""),0,IF(H44&lt;J44,1,0))</f>
        <v>0</v>
      </c>
    </row>
    <row r="45" customFormat="false" ht="15" hidden="false" customHeight="false" outlineLevel="0" collapsed="false">
      <c r="A45" s="16"/>
      <c r="B45" s="17"/>
      <c r="C45" s="18"/>
      <c r="D45" s="17"/>
      <c r="E45" s="17"/>
      <c r="F45" s="17"/>
      <c r="G45" s="17"/>
      <c r="H45" s="17"/>
      <c r="I45" s="19" t="str">
        <f aca="false">IF(A45="","",D45*(E45-F45))</f>
        <v/>
      </c>
      <c r="J45" s="19" t="str">
        <f aca="false">IF(A45="","",IFERROR(INDEX(设定!$B$5:$B$14,MATCH(C45,设定!$A$5:$A$14,0)),0))</f>
        <v/>
      </c>
      <c r="K45" s="20" t="str">
        <f aca="false">IF(A45="","",G45*J45/1000)</f>
        <v/>
      </c>
      <c r="L45" s="20" t="str">
        <f aca="false">IF(A45="","",I45*IFERROR(INDEX(设定!$C$5:$C$14,MATCH(C45,设定!$A$5:$A$14,0)),0))</f>
        <v/>
      </c>
      <c r="M45" s="21" t="str">
        <f aca="false">IF(A45="","",IF(L45&gt;0,K45/L45,0))</f>
        <v/>
      </c>
      <c r="N45" s="21" t="str">
        <f aca="false">IF(OR(A45="",H45=""),"",IF(J45&gt;0,(H45-J45)/J45,0))</f>
        <v/>
      </c>
      <c r="O45" s="22" t="str">
        <f aca="false">IF(OR(A45="",H45=""),"",IF(H45&lt;J45,"⚠ 低于标示",""))</f>
        <v/>
      </c>
      <c r="P45" s="19" t="n">
        <f aca="false">IF(OR(A45="",H45=""),0,G45*(H45-J45))</f>
        <v>0</v>
      </c>
      <c r="Q45" s="19" t="n">
        <f aca="false">IF(OR(A45="",H45=""),0,G45*J45)</f>
        <v>0</v>
      </c>
      <c r="R45" s="19" t="n">
        <f aca="false">IF(OR(A45="",H45=""),0,IF(H45&lt;J45,1,0))</f>
        <v>0</v>
      </c>
    </row>
    <row r="46" customFormat="false" ht="15" hidden="false" customHeight="false" outlineLevel="0" collapsed="false">
      <c r="A46" s="16"/>
      <c r="B46" s="17"/>
      <c r="C46" s="18"/>
      <c r="D46" s="17"/>
      <c r="E46" s="17"/>
      <c r="F46" s="17"/>
      <c r="G46" s="17"/>
      <c r="H46" s="17"/>
      <c r="I46" s="19" t="str">
        <f aca="false">IF(A46="","",D46*(E46-F46))</f>
        <v/>
      </c>
      <c r="J46" s="19" t="str">
        <f aca="false">IF(A46="","",IFERROR(INDEX(设定!$B$5:$B$14,MATCH(C46,设定!$A$5:$A$14,0)),0))</f>
        <v/>
      </c>
      <c r="K46" s="20" t="str">
        <f aca="false">IF(A46="","",G46*J46/1000)</f>
        <v/>
      </c>
      <c r="L46" s="20" t="str">
        <f aca="false">IF(A46="","",I46*IFERROR(INDEX(设定!$C$5:$C$14,MATCH(C46,设定!$A$5:$A$14,0)),0))</f>
        <v/>
      </c>
      <c r="M46" s="21" t="str">
        <f aca="false">IF(A46="","",IF(L46&gt;0,K46/L46,0))</f>
        <v/>
      </c>
      <c r="N46" s="21" t="str">
        <f aca="false">IF(OR(A46="",H46=""),"",IF(J46&gt;0,(H46-J46)/J46,0))</f>
        <v/>
      </c>
      <c r="O46" s="22" t="str">
        <f aca="false">IF(OR(A46="",H46=""),"",IF(H46&lt;J46,"⚠ 低于标示",""))</f>
        <v/>
      </c>
      <c r="P46" s="19" t="n">
        <f aca="false">IF(OR(A46="",H46=""),0,G46*(H46-J46))</f>
        <v>0</v>
      </c>
      <c r="Q46" s="19" t="n">
        <f aca="false">IF(OR(A46="",H46=""),0,G46*J46)</f>
        <v>0</v>
      </c>
      <c r="R46" s="19" t="n">
        <f aca="false">IF(OR(A46="",H46=""),0,IF(H46&lt;J46,1,0))</f>
        <v>0</v>
      </c>
    </row>
    <row r="47" customFormat="false" ht="15" hidden="false" customHeight="false" outlineLevel="0" collapsed="false">
      <c r="A47" s="16"/>
      <c r="B47" s="17"/>
      <c r="C47" s="18"/>
      <c r="D47" s="17"/>
      <c r="E47" s="17"/>
      <c r="F47" s="17"/>
      <c r="G47" s="17"/>
      <c r="H47" s="17"/>
      <c r="I47" s="19" t="str">
        <f aca="false">IF(A47="","",D47*(E47-F47))</f>
        <v/>
      </c>
      <c r="J47" s="19" t="str">
        <f aca="false">IF(A47="","",IFERROR(INDEX(设定!$B$5:$B$14,MATCH(C47,设定!$A$5:$A$14,0)),0))</f>
        <v/>
      </c>
      <c r="K47" s="20" t="str">
        <f aca="false">IF(A47="","",G47*J47/1000)</f>
        <v/>
      </c>
      <c r="L47" s="20" t="str">
        <f aca="false">IF(A47="","",I47*IFERROR(INDEX(设定!$C$5:$C$14,MATCH(C47,设定!$A$5:$A$14,0)),0))</f>
        <v/>
      </c>
      <c r="M47" s="21" t="str">
        <f aca="false">IF(A47="","",IF(L47&gt;0,K47/L47,0))</f>
        <v/>
      </c>
      <c r="N47" s="21" t="str">
        <f aca="false">IF(OR(A47="",H47=""),"",IF(J47&gt;0,(H47-J47)/J47,0))</f>
        <v/>
      </c>
      <c r="O47" s="22" t="str">
        <f aca="false">IF(OR(A47="",H47=""),"",IF(H47&lt;J47,"⚠ 低于标示",""))</f>
        <v/>
      </c>
      <c r="P47" s="19" t="n">
        <f aca="false">IF(OR(A47="",H47=""),0,G47*(H47-J47))</f>
        <v>0</v>
      </c>
      <c r="Q47" s="19" t="n">
        <f aca="false">IF(OR(A47="",H47=""),0,G47*J47)</f>
        <v>0</v>
      </c>
      <c r="R47" s="19" t="n">
        <f aca="false">IF(OR(A47="",H47=""),0,IF(H47&lt;J47,1,0))</f>
        <v>0</v>
      </c>
    </row>
    <row r="48" customFormat="false" ht="15" hidden="false" customHeight="false" outlineLevel="0" collapsed="false">
      <c r="A48" s="16"/>
      <c r="B48" s="17"/>
      <c r="C48" s="18"/>
      <c r="D48" s="17"/>
      <c r="E48" s="17"/>
      <c r="F48" s="17"/>
      <c r="G48" s="17"/>
      <c r="H48" s="17"/>
      <c r="I48" s="19" t="str">
        <f aca="false">IF(A48="","",D48*(E48-F48))</f>
        <v/>
      </c>
      <c r="J48" s="19" t="str">
        <f aca="false">IF(A48="","",IFERROR(INDEX(设定!$B$5:$B$14,MATCH(C48,设定!$A$5:$A$14,0)),0))</f>
        <v/>
      </c>
      <c r="K48" s="20" t="str">
        <f aca="false">IF(A48="","",G48*J48/1000)</f>
        <v/>
      </c>
      <c r="L48" s="20" t="str">
        <f aca="false">IF(A48="","",I48*IFERROR(INDEX(设定!$C$5:$C$14,MATCH(C48,设定!$A$5:$A$14,0)),0))</f>
        <v/>
      </c>
      <c r="M48" s="21" t="str">
        <f aca="false">IF(A48="","",IF(L48&gt;0,K48/L48,0))</f>
        <v/>
      </c>
      <c r="N48" s="21" t="str">
        <f aca="false">IF(OR(A48="",H48=""),"",IF(J48&gt;0,(H48-J48)/J48,0))</f>
        <v/>
      </c>
      <c r="O48" s="22" t="str">
        <f aca="false">IF(OR(A48="",H48=""),"",IF(H48&lt;J48,"⚠ 低于标示",""))</f>
        <v/>
      </c>
      <c r="P48" s="19" t="n">
        <f aca="false">IF(OR(A48="",H48=""),0,G48*(H48-J48))</f>
        <v>0</v>
      </c>
      <c r="Q48" s="19" t="n">
        <f aca="false">IF(OR(A48="",H48=""),0,G48*J48)</f>
        <v>0</v>
      </c>
      <c r="R48" s="19" t="n">
        <f aca="false">IF(OR(A48="",H48=""),0,IF(H48&lt;J48,1,0))</f>
        <v>0</v>
      </c>
    </row>
    <row r="49" customFormat="false" ht="15" hidden="false" customHeight="false" outlineLevel="0" collapsed="false">
      <c r="A49" s="16"/>
      <c r="B49" s="17"/>
      <c r="C49" s="18"/>
      <c r="D49" s="17"/>
      <c r="E49" s="17"/>
      <c r="F49" s="17"/>
      <c r="G49" s="17"/>
      <c r="H49" s="17"/>
      <c r="I49" s="19" t="str">
        <f aca="false">IF(A49="","",D49*(E49-F49))</f>
        <v/>
      </c>
      <c r="J49" s="19" t="str">
        <f aca="false">IF(A49="","",IFERROR(INDEX(设定!$B$5:$B$14,MATCH(C49,设定!$A$5:$A$14,0)),0))</f>
        <v/>
      </c>
      <c r="K49" s="20" t="str">
        <f aca="false">IF(A49="","",G49*J49/1000)</f>
        <v/>
      </c>
      <c r="L49" s="20" t="str">
        <f aca="false">IF(A49="","",I49*IFERROR(INDEX(设定!$C$5:$C$14,MATCH(C49,设定!$A$5:$A$14,0)),0))</f>
        <v/>
      </c>
      <c r="M49" s="21" t="str">
        <f aca="false">IF(A49="","",IF(L49&gt;0,K49/L49,0))</f>
        <v/>
      </c>
      <c r="N49" s="21" t="str">
        <f aca="false">IF(OR(A49="",H49=""),"",IF(J49&gt;0,(H49-J49)/J49,0))</f>
        <v/>
      </c>
      <c r="O49" s="22" t="str">
        <f aca="false">IF(OR(A49="",H49=""),"",IF(H49&lt;J49,"⚠ 低于标示",""))</f>
        <v/>
      </c>
      <c r="P49" s="19" t="n">
        <f aca="false">IF(OR(A49="",H49=""),0,G49*(H49-J49))</f>
        <v>0</v>
      </c>
      <c r="Q49" s="19" t="n">
        <f aca="false">IF(OR(A49="",H49=""),0,G49*J49)</f>
        <v>0</v>
      </c>
      <c r="R49" s="19" t="n">
        <f aca="false">IF(OR(A49="",H49=""),0,IF(H49&lt;J49,1,0))</f>
        <v>0</v>
      </c>
    </row>
    <row r="50" customFormat="false" ht="15" hidden="false" customHeight="false" outlineLevel="0" collapsed="false">
      <c r="A50" s="16"/>
      <c r="B50" s="17"/>
      <c r="C50" s="18"/>
      <c r="D50" s="17"/>
      <c r="E50" s="17"/>
      <c r="F50" s="17"/>
      <c r="G50" s="17"/>
      <c r="H50" s="17"/>
      <c r="I50" s="19" t="str">
        <f aca="false">IF(A50="","",D50*(E50-F50))</f>
        <v/>
      </c>
      <c r="J50" s="19" t="str">
        <f aca="false">IF(A50="","",IFERROR(INDEX(设定!$B$5:$B$14,MATCH(C50,设定!$A$5:$A$14,0)),0))</f>
        <v/>
      </c>
      <c r="K50" s="20" t="str">
        <f aca="false">IF(A50="","",G50*J50/1000)</f>
        <v/>
      </c>
      <c r="L50" s="20" t="str">
        <f aca="false">IF(A50="","",I50*IFERROR(INDEX(设定!$C$5:$C$14,MATCH(C50,设定!$A$5:$A$14,0)),0))</f>
        <v/>
      </c>
      <c r="M50" s="21" t="str">
        <f aca="false">IF(A50="","",IF(L50&gt;0,K50/L50,0))</f>
        <v/>
      </c>
      <c r="N50" s="21" t="str">
        <f aca="false">IF(OR(A50="",H50=""),"",IF(J50&gt;0,(H50-J50)/J50,0))</f>
        <v/>
      </c>
      <c r="O50" s="22" t="str">
        <f aca="false">IF(OR(A50="",H50=""),"",IF(H50&lt;J50,"⚠ 低于标示",""))</f>
        <v/>
      </c>
      <c r="P50" s="19" t="n">
        <f aca="false">IF(OR(A50="",H50=""),0,G50*(H50-J50))</f>
        <v>0</v>
      </c>
      <c r="Q50" s="19" t="n">
        <f aca="false">IF(OR(A50="",H50=""),0,G50*J50)</f>
        <v>0</v>
      </c>
      <c r="R50" s="19" t="n">
        <f aca="false">IF(OR(A50="",H50=""),0,IF(H50&lt;J50,1,0))</f>
        <v>0</v>
      </c>
    </row>
    <row r="51" customFormat="false" ht="15" hidden="false" customHeight="false" outlineLevel="0" collapsed="false">
      <c r="A51" s="16"/>
      <c r="B51" s="17"/>
      <c r="C51" s="18"/>
      <c r="D51" s="17"/>
      <c r="E51" s="17"/>
      <c r="F51" s="17"/>
      <c r="G51" s="17"/>
      <c r="H51" s="17"/>
      <c r="I51" s="19" t="str">
        <f aca="false">IF(A51="","",D51*(E51-F51))</f>
        <v/>
      </c>
      <c r="J51" s="19" t="str">
        <f aca="false">IF(A51="","",IFERROR(INDEX(设定!$B$5:$B$14,MATCH(C51,设定!$A$5:$A$14,0)),0))</f>
        <v/>
      </c>
      <c r="K51" s="20" t="str">
        <f aca="false">IF(A51="","",G51*J51/1000)</f>
        <v/>
      </c>
      <c r="L51" s="20" t="str">
        <f aca="false">IF(A51="","",I51*IFERROR(INDEX(设定!$C$5:$C$14,MATCH(C51,设定!$A$5:$A$14,0)),0))</f>
        <v/>
      </c>
      <c r="M51" s="21" t="str">
        <f aca="false">IF(A51="","",IF(L51&gt;0,K51/L51,0))</f>
        <v/>
      </c>
      <c r="N51" s="21" t="str">
        <f aca="false">IF(OR(A51="",H51=""),"",IF(J51&gt;0,(H51-J51)/J51,0))</f>
        <v/>
      </c>
      <c r="O51" s="22" t="str">
        <f aca="false">IF(OR(A51="",H51=""),"",IF(H51&lt;J51,"⚠ 低于标示",""))</f>
        <v/>
      </c>
      <c r="P51" s="19" t="n">
        <f aca="false">IF(OR(A51="",H51=""),0,G51*(H51-J51))</f>
        <v>0</v>
      </c>
      <c r="Q51" s="19" t="n">
        <f aca="false">IF(OR(A51="",H51=""),0,G51*J51)</f>
        <v>0</v>
      </c>
      <c r="R51" s="19" t="n">
        <f aca="false">IF(OR(A51="",H51=""),0,IF(H51&lt;J51,1,0))</f>
        <v>0</v>
      </c>
    </row>
    <row r="52" customFormat="false" ht="15" hidden="false" customHeight="false" outlineLevel="0" collapsed="false">
      <c r="A52" s="16"/>
      <c r="B52" s="17"/>
      <c r="C52" s="18"/>
      <c r="D52" s="17"/>
      <c r="E52" s="17"/>
      <c r="F52" s="17"/>
      <c r="G52" s="17"/>
      <c r="H52" s="17"/>
      <c r="I52" s="19" t="str">
        <f aca="false">IF(A52="","",D52*(E52-F52))</f>
        <v/>
      </c>
      <c r="J52" s="19" t="str">
        <f aca="false">IF(A52="","",IFERROR(INDEX(设定!$B$5:$B$14,MATCH(C52,设定!$A$5:$A$14,0)),0))</f>
        <v/>
      </c>
      <c r="K52" s="20" t="str">
        <f aca="false">IF(A52="","",G52*J52/1000)</f>
        <v/>
      </c>
      <c r="L52" s="20" t="str">
        <f aca="false">IF(A52="","",I52*IFERROR(INDEX(设定!$C$5:$C$14,MATCH(C52,设定!$A$5:$A$14,0)),0))</f>
        <v/>
      </c>
      <c r="M52" s="21" t="str">
        <f aca="false">IF(A52="","",IF(L52&gt;0,K52/L52,0))</f>
        <v/>
      </c>
      <c r="N52" s="21" t="str">
        <f aca="false">IF(OR(A52="",H52=""),"",IF(J52&gt;0,(H52-J52)/J52,0))</f>
        <v/>
      </c>
      <c r="O52" s="22" t="str">
        <f aca="false">IF(OR(A52="",H52=""),"",IF(H52&lt;J52,"⚠ 低于标示",""))</f>
        <v/>
      </c>
      <c r="P52" s="19" t="n">
        <f aca="false">IF(OR(A52="",H52=""),0,G52*(H52-J52))</f>
        <v>0</v>
      </c>
      <c r="Q52" s="19" t="n">
        <f aca="false">IF(OR(A52="",H52=""),0,G52*J52)</f>
        <v>0</v>
      </c>
      <c r="R52" s="19" t="n">
        <f aca="false">IF(OR(A52="",H52=""),0,IF(H52&lt;J52,1,0))</f>
        <v>0</v>
      </c>
    </row>
    <row r="53" customFormat="false" ht="15" hidden="false" customHeight="false" outlineLevel="0" collapsed="false">
      <c r="A53" s="16"/>
      <c r="B53" s="17"/>
      <c r="C53" s="18"/>
      <c r="D53" s="17"/>
      <c r="E53" s="17"/>
      <c r="F53" s="17"/>
      <c r="G53" s="17"/>
      <c r="H53" s="17"/>
      <c r="I53" s="19" t="str">
        <f aca="false">IF(A53="","",D53*(E53-F53))</f>
        <v/>
      </c>
      <c r="J53" s="19" t="str">
        <f aca="false">IF(A53="","",IFERROR(INDEX(设定!$B$5:$B$14,MATCH(C53,设定!$A$5:$A$14,0)),0))</f>
        <v/>
      </c>
      <c r="K53" s="20" t="str">
        <f aca="false">IF(A53="","",G53*J53/1000)</f>
        <v/>
      </c>
      <c r="L53" s="20" t="str">
        <f aca="false">IF(A53="","",I53*IFERROR(INDEX(设定!$C$5:$C$14,MATCH(C53,设定!$A$5:$A$14,0)),0))</f>
        <v/>
      </c>
      <c r="M53" s="21" t="str">
        <f aca="false">IF(A53="","",IF(L53&gt;0,K53/L53,0))</f>
        <v/>
      </c>
      <c r="N53" s="21" t="str">
        <f aca="false">IF(OR(A53="",H53=""),"",IF(J53&gt;0,(H53-J53)/J53,0))</f>
        <v/>
      </c>
      <c r="O53" s="22" t="str">
        <f aca="false">IF(OR(A53="",H53=""),"",IF(H53&lt;J53,"⚠ 低于标示",""))</f>
        <v/>
      </c>
      <c r="P53" s="19" t="n">
        <f aca="false">IF(OR(A53="",H53=""),0,G53*(H53-J53))</f>
        <v>0</v>
      </c>
      <c r="Q53" s="19" t="n">
        <f aca="false">IF(OR(A53="",H53=""),0,G53*J53)</f>
        <v>0</v>
      </c>
      <c r="R53" s="19" t="n">
        <f aca="false">IF(OR(A53="",H53=""),0,IF(H53&lt;J53,1,0))</f>
        <v>0</v>
      </c>
    </row>
    <row r="54" customFormat="false" ht="15" hidden="false" customHeight="false" outlineLevel="0" collapsed="false">
      <c r="A54" s="16"/>
      <c r="B54" s="17"/>
      <c r="C54" s="18"/>
      <c r="D54" s="17"/>
      <c r="E54" s="17"/>
      <c r="F54" s="17"/>
      <c r="G54" s="17"/>
      <c r="H54" s="17"/>
      <c r="I54" s="19" t="str">
        <f aca="false">IF(A54="","",D54*(E54-F54))</f>
        <v/>
      </c>
      <c r="J54" s="19" t="str">
        <f aca="false">IF(A54="","",IFERROR(INDEX(设定!$B$5:$B$14,MATCH(C54,设定!$A$5:$A$14,0)),0))</f>
        <v/>
      </c>
      <c r="K54" s="20" t="str">
        <f aca="false">IF(A54="","",G54*J54/1000)</f>
        <v/>
      </c>
      <c r="L54" s="20" t="str">
        <f aca="false">IF(A54="","",I54*IFERROR(INDEX(设定!$C$5:$C$14,MATCH(C54,设定!$A$5:$A$14,0)),0))</f>
        <v/>
      </c>
      <c r="M54" s="21" t="str">
        <f aca="false">IF(A54="","",IF(L54&gt;0,K54/L54,0))</f>
        <v/>
      </c>
      <c r="N54" s="21" t="str">
        <f aca="false">IF(OR(A54="",H54=""),"",IF(J54&gt;0,(H54-J54)/J54,0))</f>
        <v/>
      </c>
      <c r="O54" s="22" t="str">
        <f aca="false">IF(OR(A54="",H54=""),"",IF(H54&lt;J54,"⚠ 低于标示",""))</f>
        <v/>
      </c>
      <c r="P54" s="19" t="n">
        <f aca="false">IF(OR(A54="",H54=""),0,G54*(H54-J54))</f>
        <v>0</v>
      </c>
      <c r="Q54" s="19" t="n">
        <f aca="false">IF(OR(A54="",H54=""),0,G54*J54)</f>
        <v>0</v>
      </c>
      <c r="R54" s="19" t="n">
        <f aca="false">IF(OR(A54="",H54=""),0,IF(H54&lt;J54,1,0))</f>
        <v>0</v>
      </c>
    </row>
    <row r="55" customFormat="false" ht="15" hidden="false" customHeight="false" outlineLevel="0" collapsed="false">
      <c r="A55" s="16"/>
      <c r="B55" s="17"/>
      <c r="C55" s="18"/>
      <c r="D55" s="17"/>
      <c r="E55" s="17"/>
      <c r="F55" s="17"/>
      <c r="G55" s="17"/>
      <c r="H55" s="17"/>
      <c r="I55" s="19" t="str">
        <f aca="false">IF(A55="","",D55*(E55-F55))</f>
        <v/>
      </c>
      <c r="J55" s="19" t="str">
        <f aca="false">IF(A55="","",IFERROR(INDEX(设定!$B$5:$B$14,MATCH(C55,设定!$A$5:$A$14,0)),0))</f>
        <v/>
      </c>
      <c r="K55" s="20" t="str">
        <f aca="false">IF(A55="","",G55*J55/1000)</f>
        <v/>
      </c>
      <c r="L55" s="20" t="str">
        <f aca="false">IF(A55="","",I55*IFERROR(INDEX(设定!$C$5:$C$14,MATCH(C55,设定!$A$5:$A$14,0)),0))</f>
        <v/>
      </c>
      <c r="M55" s="21" t="str">
        <f aca="false">IF(A55="","",IF(L55&gt;0,K55/L55,0))</f>
        <v/>
      </c>
      <c r="N55" s="21" t="str">
        <f aca="false">IF(OR(A55="",H55=""),"",IF(J55&gt;0,(H55-J55)/J55,0))</f>
        <v/>
      </c>
      <c r="O55" s="22" t="str">
        <f aca="false">IF(OR(A55="",H55=""),"",IF(H55&lt;J55,"⚠ 低于标示",""))</f>
        <v/>
      </c>
      <c r="P55" s="19" t="n">
        <f aca="false">IF(OR(A55="",H55=""),0,G55*(H55-J55))</f>
        <v>0</v>
      </c>
      <c r="Q55" s="19" t="n">
        <f aca="false">IF(OR(A55="",H55=""),0,G55*J55)</f>
        <v>0</v>
      </c>
      <c r="R55" s="19" t="n">
        <f aca="false">IF(OR(A55="",H55=""),0,IF(H55&lt;J55,1,0))</f>
        <v>0</v>
      </c>
    </row>
    <row r="56" customFormat="false" ht="15" hidden="false" customHeight="false" outlineLevel="0" collapsed="false">
      <c r="A56" s="16"/>
      <c r="B56" s="17"/>
      <c r="C56" s="18"/>
      <c r="D56" s="17"/>
      <c r="E56" s="17"/>
      <c r="F56" s="17"/>
      <c r="G56" s="17"/>
      <c r="H56" s="17"/>
      <c r="I56" s="19" t="str">
        <f aca="false">IF(A56="","",D56*(E56-F56))</f>
        <v/>
      </c>
      <c r="J56" s="19" t="str">
        <f aca="false">IF(A56="","",IFERROR(INDEX(设定!$B$5:$B$14,MATCH(C56,设定!$A$5:$A$14,0)),0))</f>
        <v/>
      </c>
      <c r="K56" s="20" t="str">
        <f aca="false">IF(A56="","",G56*J56/1000)</f>
        <v/>
      </c>
      <c r="L56" s="20" t="str">
        <f aca="false">IF(A56="","",I56*IFERROR(INDEX(设定!$C$5:$C$14,MATCH(C56,设定!$A$5:$A$14,0)),0))</f>
        <v/>
      </c>
      <c r="M56" s="21" t="str">
        <f aca="false">IF(A56="","",IF(L56&gt;0,K56/L56,0))</f>
        <v/>
      </c>
      <c r="N56" s="21" t="str">
        <f aca="false">IF(OR(A56="",H56=""),"",IF(J56&gt;0,(H56-J56)/J56,0))</f>
        <v/>
      </c>
      <c r="O56" s="22" t="str">
        <f aca="false">IF(OR(A56="",H56=""),"",IF(H56&lt;J56,"⚠ 低于标示",""))</f>
        <v/>
      </c>
      <c r="P56" s="19" t="n">
        <f aca="false">IF(OR(A56="",H56=""),0,G56*(H56-J56))</f>
        <v>0</v>
      </c>
      <c r="Q56" s="19" t="n">
        <f aca="false">IF(OR(A56="",H56=""),0,G56*J56)</f>
        <v>0</v>
      </c>
      <c r="R56" s="19" t="n">
        <f aca="false">IF(OR(A56="",H56=""),0,IF(H56&lt;J56,1,0))</f>
        <v>0</v>
      </c>
    </row>
    <row r="57" customFormat="false" ht="15" hidden="false" customHeight="false" outlineLevel="0" collapsed="false">
      <c r="A57" s="16"/>
      <c r="B57" s="17"/>
      <c r="C57" s="18"/>
      <c r="D57" s="17"/>
      <c r="E57" s="17"/>
      <c r="F57" s="17"/>
      <c r="G57" s="17"/>
      <c r="H57" s="17"/>
      <c r="I57" s="19" t="str">
        <f aca="false">IF(A57="","",D57*(E57-F57))</f>
        <v/>
      </c>
      <c r="J57" s="19" t="str">
        <f aca="false">IF(A57="","",IFERROR(INDEX(设定!$B$5:$B$14,MATCH(C57,设定!$A$5:$A$14,0)),0))</f>
        <v/>
      </c>
      <c r="K57" s="20" t="str">
        <f aca="false">IF(A57="","",G57*J57/1000)</f>
        <v/>
      </c>
      <c r="L57" s="20" t="str">
        <f aca="false">IF(A57="","",I57*IFERROR(INDEX(设定!$C$5:$C$14,MATCH(C57,设定!$A$5:$A$14,0)),0))</f>
        <v/>
      </c>
      <c r="M57" s="21" t="str">
        <f aca="false">IF(A57="","",IF(L57&gt;0,K57/L57,0))</f>
        <v/>
      </c>
      <c r="N57" s="21" t="str">
        <f aca="false">IF(OR(A57="",H57=""),"",IF(J57&gt;0,(H57-J57)/J57,0))</f>
        <v/>
      </c>
      <c r="O57" s="22" t="str">
        <f aca="false">IF(OR(A57="",H57=""),"",IF(H57&lt;J57,"⚠ 低于标示",""))</f>
        <v/>
      </c>
      <c r="P57" s="19" t="n">
        <f aca="false">IF(OR(A57="",H57=""),0,G57*(H57-J57))</f>
        <v>0</v>
      </c>
      <c r="Q57" s="19" t="n">
        <f aca="false">IF(OR(A57="",H57=""),0,G57*J57)</f>
        <v>0</v>
      </c>
      <c r="R57" s="19" t="n">
        <f aca="false">IF(OR(A57="",H57=""),0,IF(H57&lt;J57,1,0))</f>
        <v>0</v>
      </c>
    </row>
    <row r="58" customFormat="false" ht="15" hidden="false" customHeight="false" outlineLevel="0" collapsed="false">
      <c r="A58" s="16"/>
      <c r="B58" s="17"/>
      <c r="C58" s="18"/>
      <c r="D58" s="17"/>
      <c r="E58" s="17"/>
      <c r="F58" s="17"/>
      <c r="G58" s="17"/>
      <c r="H58" s="17"/>
      <c r="I58" s="19" t="str">
        <f aca="false">IF(A58="","",D58*(E58-F58))</f>
        <v/>
      </c>
      <c r="J58" s="19" t="str">
        <f aca="false">IF(A58="","",IFERROR(INDEX(设定!$B$5:$B$14,MATCH(C58,设定!$A$5:$A$14,0)),0))</f>
        <v/>
      </c>
      <c r="K58" s="20" t="str">
        <f aca="false">IF(A58="","",G58*J58/1000)</f>
        <v/>
      </c>
      <c r="L58" s="20" t="str">
        <f aca="false">IF(A58="","",I58*IFERROR(INDEX(设定!$C$5:$C$14,MATCH(C58,设定!$A$5:$A$14,0)),0))</f>
        <v/>
      </c>
      <c r="M58" s="21" t="str">
        <f aca="false">IF(A58="","",IF(L58&gt;0,K58/L58,0))</f>
        <v/>
      </c>
      <c r="N58" s="21" t="str">
        <f aca="false">IF(OR(A58="",H58=""),"",IF(J58&gt;0,(H58-J58)/J58,0))</f>
        <v/>
      </c>
      <c r="O58" s="22" t="str">
        <f aca="false">IF(OR(A58="",H58=""),"",IF(H58&lt;J58,"⚠ 低于标示",""))</f>
        <v/>
      </c>
      <c r="P58" s="19" t="n">
        <f aca="false">IF(OR(A58="",H58=""),0,G58*(H58-J58))</f>
        <v>0</v>
      </c>
      <c r="Q58" s="19" t="n">
        <f aca="false">IF(OR(A58="",H58=""),0,G58*J58)</f>
        <v>0</v>
      </c>
      <c r="R58" s="19" t="n">
        <f aca="false">IF(OR(A58="",H58=""),0,IF(H58&lt;J58,1,0))</f>
        <v>0</v>
      </c>
    </row>
    <row r="59" customFormat="false" ht="15" hidden="false" customHeight="false" outlineLevel="0" collapsed="false">
      <c r="A59" s="16"/>
      <c r="B59" s="17"/>
      <c r="C59" s="18"/>
      <c r="D59" s="17"/>
      <c r="E59" s="17"/>
      <c r="F59" s="17"/>
      <c r="G59" s="17"/>
      <c r="H59" s="17"/>
      <c r="I59" s="19" t="str">
        <f aca="false">IF(A59="","",D59*(E59-F59))</f>
        <v/>
      </c>
      <c r="J59" s="19" t="str">
        <f aca="false">IF(A59="","",IFERROR(INDEX(设定!$B$5:$B$14,MATCH(C59,设定!$A$5:$A$14,0)),0))</f>
        <v/>
      </c>
      <c r="K59" s="20" t="str">
        <f aca="false">IF(A59="","",G59*J59/1000)</f>
        <v/>
      </c>
      <c r="L59" s="20" t="str">
        <f aca="false">IF(A59="","",I59*IFERROR(INDEX(设定!$C$5:$C$14,MATCH(C59,设定!$A$5:$A$14,0)),0))</f>
        <v/>
      </c>
      <c r="M59" s="21" t="str">
        <f aca="false">IF(A59="","",IF(L59&gt;0,K59/L59,0))</f>
        <v/>
      </c>
      <c r="N59" s="21" t="str">
        <f aca="false">IF(OR(A59="",H59=""),"",IF(J59&gt;0,(H59-J59)/J59,0))</f>
        <v/>
      </c>
      <c r="O59" s="22" t="str">
        <f aca="false">IF(OR(A59="",H59=""),"",IF(H59&lt;J59,"⚠ 低于标示",""))</f>
        <v/>
      </c>
      <c r="P59" s="19" t="n">
        <f aca="false">IF(OR(A59="",H59=""),0,G59*(H59-J59))</f>
        <v>0</v>
      </c>
      <c r="Q59" s="19" t="n">
        <f aca="false">IF(OR(A59="",H59=""),0,G59*J59)</f>
        <v>0</v>
      </c>
      <c r="R59" s="19" t="n">
        <f aca="false">IF(OR(A59="",H59=""),0,IF(H59&lt;J59,1,0))</f>
        <v>0</v>
      </c>
    </row>
    <row r="60" customFormat="false" ht="15" hidden="false" customHeight="false" outlineLevel="0" collapsed="false">
      <c r="A60" s="16"/>
      <c r="B60" s="17"/>
      <c r="C60" s="18"/>
      <c r="D60" s="17"/>
      <c r="E60" s="17"/>
      <c r="F60" s="17"/>
      <c r="G60" s="17"/>
      <c r="H60" s="17"/>
      <c r="I60" s="19" t="str">
        <f aca="false">IF(A60="","",D60*(E60-F60))</f>
        <v/>
      </c>
      <c r="J60" s="19" t="str">
        <f aca="false">IF(A60="","",IFERROR(INDEX(设定!$B$5:$B$14,MATCH(C60,设定!$A$5:$A$14,0)),0))</f>
        <v/>
      </c>
      <c r="K60" s="20" t="str">
        <f aca="false">IF(A60="","",G60*J60/1000)</f>
        <v/>
      </c>
      <c r="L60" s="20" t="str">
        <f aca="false">IF(A60="","",I60*IFERROR(INDEX(设定!$C$5:$C$14,MATCH(C60,设定!$A$5:$A$14,0)),0))</f>
        <v/>
      </c>
      <c r="M60" s="21" t="str">
        <f aca="false">IF(A60="","",IF(L60&gt;0,K60/L60,0))</f>
        <v/>
      </c>
      <c r="N60" s="21" t="str">
        <f aca="false">IF(OR(A60="",H60=""),"",IF(J60&gt;0,(H60-J60)/J60,0))</f>
        <v/>
      </c>
      <c r="O60" s="22" t="str">
        <f aca="false">IF(OR(A60="",H60=""),"",IF(H60&lt;J60,"⚠ 低于标示",""))</f>
        <v/>
      </c>
      <c r="P60" s="19" t="n">
        <f aca="false">IF(OR(A60="",H60=""),0,G60*(H60-J60))</f>
        <v>0</v>
      </c>
      <c r="Q60" s="19" t="n">
        <f aca="false">IF(OR(A60="",H60=""),0,G60*J60)</f>
        <v>0</v>
      </c>
      <c r="R60" s="19" t="n">
        <f aca="false">IF(OR(A60="",H60=""),0,IF(H60&lt;J60,1,0))</f>
        <v>0</v>
      </c>
    </row>
    <row r="61" customFormat="false" ht="15" hidden="false" customHeight="false" outlineLevel="0" collapsed="false">
      <c r="A61" s="16"/>
      <c r="B61" s="17"/>
      <c r="C61" s="18"/>
      <c r="D61" s="17"/>
      <c r="E61" s="17"/>
      <c r="F61" s="17"/>
      <c r="G61" s="17"/>
      <c r="H61" s="17"/>
      <c r="I61" s="19" t="str">
        <f aca="false">IF(A61="","",D61*(E61-F61))</f>
        <v/>
      </c>
      <c r="J61" s="19" t="str">
        <f aca="false">IF(A61="","",IFERROR(INDEX(设定!$B$5:$B$14,MATCH(C61,设定!$A$5:$A$14,0)),0))</f>
        <v/>
      </c>
      <c r="K61" s="20" t="str">
        <f aca="false">IF(A61="","",G61*J61/1000)</f>
        <v/>
      </c>
      <c r="L61" s="20" t="str">
        <f aca="false">IF(A61="","",I61*IFERROR(INDEX(设定!$C$5:$C$14,MATCH(C61,设定!$A$5:$A$14,0)),0))</f>
        <v/>
      </c>
      <c r="M61" s="21" t="str">
        <f aca="false">IF(A61="","",IF(L61&gt;0,K61/L61,0))</f>
        <v/>
      </c>
      <c r="N61" s="21" t="str">
        <f aca="false">IF(OR(A61="",H61=""),"",IF(J61&gt;0,(H61-J61)/J61,0))</f>
        <v/>
      </c>
      <c r="O61" s="22" t="str">
        <f aca="false">IF(OR(A61="",H61=""),"",IF(H61&lt;J61,"⚠ 低于标示",""))</f>
        <v/>
      </c>
      <c r="P61" s="19" t="n">
        <f aca="false">IF(OR(A61="",H61=""),0,G61*(H61-J61))</f>
        <v>0</v>
      </c>
      <c r="Q61" s="19" t="n">
        <f aca="false">IF(OR(A61="",H61=""),0,G61*J61)</f>
        <v>0</v>
      </c>
      <c r="R61" s="19" t="n">
        <f aca="false">IF(OR(A61="",H61=""),0,IF(H61&lt;J61,1,0))</f>
        <v>0</v>
      </c>
    </row>
    <row r="62" customFormat="false" ht="15" hidden="false" customHeight="false" outlineLevel="0" collapsed="false">
      <c r="A62" s="16"/>
      <c r="B62" s="17"/>
      <c r="C62" s="18"/>
      <c r="D62" s="17"/>
      <c r="E62" s="17"/>
      <c r="F62" s="17"/>
      <c r="G62" s="17"/>
      <c r="H62" s="17"/>
      <c r="I62" s="19" t="str">
        <f aca="false">IF(A62="","",D62*(E62-F62))</f>
        <v/>
      </c>
      <c r="J62" s="19" t="str">
        <f aca="false">IF(A62="","",IFERROR(INDEX(设定!$B$5:$B$14,MATCH(C62,设定!$A$5:$A$14,0)),0))</f>
        <v/>
      </c>
      <c r="K62" s="20" t="str">
        <f aca="false">IF(A62="","",G62*J62/1000)</f>
        <v/>
      </c>
      <c r="L62" s="20" t="str">
        <f aca="false">IF(A62="","",I62*IFERROR(INDEX(设定!$C$5:$C$14,MATCH(C62,设定!$A$5:$A$14,0)),0))</f>
        <v/>
      </c>
      <c r="M62" s="21" t="str">
        <f aca="false">IF(A62="","",IF(L62&gt;0,K62/L62,0))</f>
        <v/>
      </c>
      <c r="N62" s="21" t="str">
        <f aca="false">IF(OR(A62="",H62=""),"",IF(J62&gt;0,(H62-J62)/J62,0))</f>
        <v/>
      </c>
      <c r="O62" s="22" t="str">
        <f aca="false">IF(OR(A62="",H62=""),"",IF(H62&lt;J62,"⚠ 低于标示",""))</f>
        <v/>
      </c>
      <c r="P62" s="19" t="n">
        <f aca="false">IF(OR(A62="",H62=""),0,G62*(H62-J62))</f>
        <v>0</v>
      </c>
      <c r="Q62" s="19" t="n">
        <f aca="false">IF(OR(A62="",H62=""),0,G62*J62)</f>
        <v>0</v>
      </c>
      <c r="R62" s="19" t="n">
        <f aca="false">IF(OR(A62="",H62=""),0,IF(H62&lt;J62,1,0))</f>
        <v>0</v>
      </c>
    </row>
    <row r="63" customFormat="false" ht="15" hidden="false" customHeight="false" outlineLevel="0" collapsed="false">
      <c r="A63" s="16"/>
      <c r="B63" s="17"/>
      <c r="C63" s="18"/>
      <c r="D63" s="17"/>
      <c r="E63" s="17"/>
      <c r="F63" s="17"/>
      <c r="G63" s="17"/>
      <c r="H63" s="17"/>
      <c r="I63" s="19" t="str">
        <f aca="false">IF(A63="","",D63*(E63-F63))</f>
        <v/>
      </c>
      <c r="J63" s="19" t="str">
        <f aca="false">IF(A63="","",IFERROR(INDEX(设定!$B$5:$B$14,MATCH(C63,设定!$A$5:$A$14,0)),0))</f>
        <v/>
      </c>
      <c r="K63" s="20" t="str">
        <f aca="false">IF(A63="","",G63*J63/1000)</f>
        <v/>
      </c>
      <c r="L63" s="20" t="str">
        <f aca="false">IF(A63="","",I63*IFERROR(INDEX(设定!$C$5:$C$14,MATCH(C63,设定!$A$5:$A$14,0)),0))</f>
        <v/>
      </c>
      <c r="M63" s="21" t="str">
        <f aca="false">IF(A63="","",IF(L63&gt;0,K63/L63,0))</f>
        <v/>
      </c>
      <c r="N63" s="21" t="str">
        <f aca="false">IF(OR(A63="",H63=""),"",IF(J63&gt;0,(H63-J63)/J63,0))</f>
        <v/>
      </c>
      <c r="O63" s="22" t="str">
        <f aca="false">IF(OR(A63="",H63=""),"",IF(H63&lt;J63,"⚠ 低于标示",""))</f>
        <v/>
      </c>
      <c r="P63" s="19" t="n">
        <f aca="false">IF(OR(A63="",H63=""),0,G63*(H63-J63))</f>
        <v>0</v>
      </c>
      <c r="Q63" s="19" t="n">
        <f aca="false">IF(OR(A63="",H63=""),0,G63*J63)</f>
        <v>0</v>
      </c>
      <c r="R63" s="19" t="n">
        <f aca="false">IF(OR(A63="",H63=""),0,IF(H63&lt;J63,1,0))</f>
        <v>0</v>
      </c>
    </row>
    <row r="64" customFormat="false" ht="15" hidden="false" customHeight="false" outlineLevel="0" collapsed="false">
      <c r="A64" s="16"/>
      <c r="B64" s="17"/>
      <c r="C64" s="18"/>
      <c r="D64" s="17"/>
      <c r="E64" s="17"/>
      <c r="F64" s="17"/>
      <c r="G64" s="17"/>
      <c r="H64" s="17"/>
      <c r="I64" s="19" t="str">
        <f aca="false">IF(A64="","",D64*(E64-F64))</f>
        <v/>
      </c>
      <c r="J64" s="19" t="str">
        <f aca="false">IF(A64="","",IFERROR(INDEX(设定!$B$5:$B$14,MATCH(C64,设定!$A$5:$A$14,0)),0))</f>
        <v/>
      </c>
      <c r="K64" s="20" t="str">
        <f aca="false">IF(A64="","",G64*J64/1000)</f>
        <v/>
      </c>
      <c r="L64" s="20" t="str">
        <f aca="false">IF(A64="","",I64*IFERROR(INDEX(设定!$C$5:$C$14,MATCH(C64,设定!$A$5:$A$14,0)),0))</f>
        <v/>
      </c>
      <c r="M64" s="21" t="str">
        <f aca="false">IF(A64="","",IF(L64&gt;0,K64/L64,0))</f>
        <v/>
      </c>
      <c r="N64" s="21" t="str">
        <f aca="false">IF(OR(A64="",H64=""),"",IF(J64&gt;0,(H64-J64)/J64,0))</f>
        <v/>
      </c>
      <c r="O64" s="22" t="str">
        <f aca="false">IF(OR(A64="",H64=""),"",IF(H64&lt;J64,"⚠ 低于标示",""))</f>
        <v/>
      </c>
      <c r="P64" s="19" t="n">
        <f aca="false">IF(OR(A64="",H64=""),0,G64*(H64-J64))</f>
        <v>0</v>
      </c>
      <c r="Q64" s="19" t="n">
        <f aca="false">IF(OR(A64="",H64=""),0,G64*J64)</f>
        <v>0</v>
      </c>
      <c r="R64" s="19" t="n">
        <f aca="false">IF(OR(A64="",H64=""),0,IF(H64&lt;J64,1,0))</f>
        <v>0</v>
      </c>
    </row>
    <row r="65" customFormat="false" ht="15" hidden="false" customHeight="false" outlineLevel="0" collapsed="false">
      <c r="A65" s="16"/>
      <c r="B65" s="17"/>
      <c r="C65" s="18"/>
      <c r="D65" s="17"/>
      <c r="E65" s="17"/>
      <c r="F65" s="17"/>
      <c r="G65" s="17"/>
      <c r="H65" s="17"/>
      <c r="I65" s="19" t="str">
        <f aca="false">IF(A65="","",D65*(E65-F65))</f>
        <v/>
      </c>
      <c r="J65" s="19" t="str">
        <f aca="false">IF(A65="","",IFERROR(INDEX(设定!$B$5:$B$14,MATCH(C65,设定!$A$5:$A$14,0)),0))</f>
        <v/>
      </c>
      <c r="K65" s="20" t="str">
        <f aca="false">IF(A65="","",G65*J65/1000)</f>
        <v/>
      </c>
      <c r="L65" s="20" t="str">
        <f aca="false">IF(A65="","",I65*IFERROR(INDEX(设定!$C$5:$C$14,MATCH(C65,设定!$A$5:$A$14,0)),0))</f>
        <v/>
      </c>
      <c r="M65" s="21" t="str">
        <f aca="false">IF(A65="","",IF(L65&gt;0,K65/L65,0))</f>
        <v/>
      </c>
      <c r="N65" s="21" t="str">
        <f aca="false">IF(OR(A65="",H65=""),"",IF(J65&gt;0,(H65-J65)/J65,0))</f>
        <v/>
      </c>
      <c r="O65" s="22" t="str">
        <f aca="false">IF(OR(A65="",H65=""),"",IF(H65&lt;J65,"⚠ 低于标示",""))</f>
        <v/>
      </c>
      <c r="P65" s="19" t="n">
        <f aca="false">IF(OR(A65="",H65=""),0,G65*(H65-J65))</f>
        <v>0</v>
      </c>
      <c r="Q65" s="19" t="n">
        <f aca="false">IF(OR(A65="",H65=""),0,G65*J65)</f>
        <v>0</v>
      </c>
      <c r="R65" s="19" t="n">
        <f aca="false">IF(OR(A65="",H65=""),0,IF(H65&lt;J65,1,0))</f>
        <v>0</v>
      </c>
    </row>
    <row r="66" customFormat="false" ht="15" hidden="false" customHeight="false" outlineLevel="0" collapsed="false">
      <c r="A66" s="16"/>
      <c r="B66" s="17"/>
      <c r="C66" s="18"/>
      <c r="D66" s="17"/>
      <c r="E66" s="17"/>
      <c r="F66" s="17"/>
      <c r="G66" s="17"/>
      <c r="H66" s="17"/>
      <c r="I66" s="19" t="str">
        <f aca="false">IF(A66="","",D66*(E66-F66))</f>
        <v/>
      </c>
      <c r="J66" s="19" t="str">
        <f aca="false">IF(A66="","",IFERROR(INDEX(设定!$B$5:$B$14,MATCH(C66,设定!$A$5:$A$14,0)),0))</f>
        <v/>
      </c>
      <c r="K66" s="20" t="str">
        <f aca="false">IF(A66="","",G66*J66/1000)</f>
        <v/>
      </c>
      <c r="L66" s="20" t="str">
        <f aca="false">IF(A66="","",I66*IFERROR(INDEX(设定!$C$5:$C$14,MATCH(C66,设定!$A$5:$A$14,0)),0))</f>
        <v/>
      </c>
      <c r="M66" s="21" t="str">
        <f aca="false">IF(A66="","",IF(L66&gt;0,K66/L66,0))</f>
        <v/>
      </c>
      <c r="N66" s="21" t="str">
        <f aca="false">IF(OR(A66="",H66=""),"",IF(J66&gt;0,(H66-J66)/J66,0))</f>
        <v/>
      </c>
      <c r="O66" s="22" t="str">
        <f aca="false">IF(OR(A66="",H66=""),"",IF(H66&lt;J66,"⚠ 低于标示",""))</f>
        <v/>
      </c>
      <c r="P66" s="19" t="n">
        <f aca="false">IF(OR(A66="",H66=""),0,G66*(H66-J66))</f>
        <v>0</v>
      </c>
      <c r="Q66" s="19" t="n">
        <f aca="false">IF(OR(A66="",H66=""),0,G66*J66)</f>
        <v>0</v>
      </c>
      <c r="R66" s="19" t="n">
        <f aca="false">IF(OR(A66="",H66=""),0,IF(H66&lt;J66,1,0))</f>
        <v>0</v>
      </c>
    </row>
    <row r="67" customFormat="false" ht="15" hidden="false" customHeight="false" outlineLevel="0" collapsed="false">
      <c r="A67" s="16"/>
      <c r="B67" s="17"/>
      <c r="C67" s="18"/>
      <c r="D67" s="17"/>
      <c r="E67" s="17"/>
      <c r="F67" s="17"/>
      <c r="G67" s="17"/>
      <c r="H67" s="17"/>
      <c r="I67" s="19" t="str">
        <f aca="false">IF(A67="","",D67*(E67-F67))</f>
        <v/>
      </c>
      <c r="J67" s="19" t="str">
        <f aca="false">IF(A67="","",IFERROR(INDEX(设定!$B$5:$B$14,MATCH(C67,设定!$A$5:$A$14,0)),0))</f>
        <v/>
      </c>
      <c r="K67" s="20" t="str">
        <f aca="false">IF(A67="","",G67*J67/1000)</f>
        <v/>
      </c>
      <c r="L67" s="20" t="str">
        <f aca="false">IF(A67="","",I67*IFERROR(INDEX(设定!$C$5:$C$14,MATCH(C67,设定!$A$5:$A$14,0)),0))</f>
        <v/>
      </c>
      <c r="M67" s="21" t="str">
        <f aca="false">IF(A67="","",IF(L67&gt;0,K67/L67,0))</f>
        <v/>
      </c>
      <c r="N67" s="21" t="str">
        <f aca="false">IF(OR(A67="",H67=""),"",IF(J67&gt;0,(H67-J67)/J67,0))</f>
        <v/>
      </c>
      <c r="O67" s="22" t="str">
        <f aca="false">IF(OR(A67="",H67=""),"",IF(H67&lt;J67,"⚠ 低于标示",""))</f>
        <v/>
      </c>
      <c r="P67" s="19" t="n">
        <f aca="false">IF(OR(A67="",H67=""),0,G67*(H67-J67))</f>
        <v>0</v>
      </c>
      <c r="Q67" s="19" t="n">
        <f aca="false">IF(OR(A67="",H67=""),0,G67*J67)</f>
        <v>0</v>
      </c>
      <c r="R67" s="19" t="n">
        <f aca="false">IF(OR(A67="",H67=""),0,IF(H67&lt;J67,1,0))</f>
        <v>0</v>
      </c>
    </row>
    <row r="68" customFormat="false" ht="15" hidden="false" customHeight="false" outlineLevel="0" collapsed="false">
      <c r="A68" s="16"/>
      <c r="B68" s="17"/>
      <c r="C68" s="18"/>
      <c r="D68" s="17"/>
      <c r="E68" s="17"/>
      <c r="F68" s="17"/>
      <c r="G68" s="17"/>
      <c r="H68" s="17"/>
      <c r="I68" s="19" t="str">
        <f aca="false">IF(A68="","",D68*(E68-F68))</f>
        <v/>
      </c>
      <c r="J68" s="19" t="str">
        <f aca="false">IF(A68="","",IFERROR(INDEX(设定!$B$5:$B$14,MATCH(C68,设定!$A$5:$A$14,0)),0))</f>
        <v/>
      </c>
      <c r="K68" s="20" t="str">
        <f aca="false">IF(A68="","",G68*J68/1000)</f>
        <v/>
      </c>
      <c r="L68" s="20" t="str">
        <f aca="false">IF(A68="","",I68*IFERROR(INDEX(设定!$C$5:$C$14,MATCH(C68,设定!$A$5:$A$14,0)),0))</f>
        <v/>
      </c>
      <c r="M68" s="21" t="str">
        <f aca="false">IF(A68="","",IF(L68&gt;0,K68/L68,0))</f>
        <v/>
      </c>
      <c r="N68" s="21" t="str">
        <f aca="false">IF(OR(A68="",H68=""),"",IF(J68&gt;0,(H68-J68)/J68,0))</f>
        <v/>
      </c>
      <c r="O68" s="22" t="str">
        <f aca="false">IF(OR(A68="",H68=""),"",IF(H68&lt;J68,"⚠ 低于标示",""))</f>
        <v/>
      </c>
      <c r="P68" s="19" t="n">
        <f aca="false">IF(OR(A68="",H68=""),0,G68*(H68-J68))</f>
        <v>0</v>
      </c>
      <c r="Q68" s="19" t="n">
        <f aca="false">IF(OR(A68="",H68=""),0,G68*J68)</f>
        <v>0</v>
      </c>
      <c r="R68" s="19" t="n">
        <f aca="false">IF(OR(A68="",H68=""),0,IF(H68&lt;J68,1,0))</f>
        <v>0</v>
      </c>
    </row>
    <row r="69" customFormat="false" ht="15" hidden="false" customHeight="false" outlineLevel="0" collapsed="false">
      <c r="A69" s="16"/>
      <c r="B69" s="17"/>
      <c r="C69" s="18"/>
      <c r="D69" s="17"/>
      <c r="E69" s="17"/>
      <c r="F69" s="17"/>
      <c r="G69" s="17"/>
      <c r="H69" s="17"/>
      <c r="I69" s="19" t="str">
        <f aca="false">IF(A69="","",D69*(E69-F69))</f>
        <v/>
      </c>
      <c r="J69" s="19" t="str">
        <f aca="false">IF(A69="","",IFERROR(INDEX(设定!$B$5:$B$14,MATCH(C69,设定!$A$5:$A$14,0)),0))</f>
        <v/>
      </c>
      <c r="K69" s="20" t="str">
        <f aca="false">IF(A69="","",G69*J69/1000)</f>
        <v/>
      </c>
      <c r="L69" s="20" t="str">
        <f aca="false">IF(A69="","",I69*IFERROR(INDEX(设定!$C$5:$C$14,MATCH(C69,设定!$A$5:$A$14,0)),0))</f>
        <v/>
      </c>
      <c r="M69" s="21" t="str">
        <f aca="false">IF(A69="","",IF(L69&gt;0,K69/L69,0))</f>
        <v/>
      </c>
      <c r="N69" s="21" t="str">
        <f aca="false">IF(OR(A69="",H69=""),"",IF(J69&gt;0,(H69-J69)/J69,0))</f>
        <v/>
      </c>
      <c r="O69" s="22" t="str">
        <f aca="false">IF(OR(A69="",H69=""),"",IF(H69&lt;J69,"⚠ 低于标示",""))</f>
        <v/>
      </c>
      <c r="P69" s="19" t="n">
        <f aca="false">IF(OR(A69="",H69=""),0,G69*(H69-J69))</f>
        <v>0</v>
      </c>
      <c r="Q69" s="19" t="n">
        <f aca="false">IF(OR(A69="",H69=""),0,G69*J69)</f>
        <v>0</v>
      </c>
      <c r="R69" s="19" t="n">
        <f aca="false">IF(OR(A69="",H69=""),0,IF(H69&lt;J69,1,0))</f>
        <v>0</v>
      </c>
    </row>
    <row r="70" customFormat="false" ht="15" hidden="false" customHeight="false" outlineLevel="0" collapsed="false">
      <c r="A70" s="16"/>
      <c r="B70" s="17"/>
      <c r="C70" s="18"/>
      <c r="D70" s="17"/>
      <c r="E70" s="17"/>
      <c r="F70" s="17"/>
      <c r="G70" s="17"/>
      <c r="H70" s="17"/>
      <c r="I70" s="19" t="str">
        <f aca="false">IF(A70="","",D70*(E70-F70))</f>
        <v/>
      </c>
      <c r="J70" s="19" t="str">
        <f aca="false">IF(A70="","",IFERROR(INDEX(设定!$B$5:$B$14,MATCH(C70,设定!$A$5:$A$14,0)),0))</f>
        <v/>
      </c>
      <c r="K70" s="20" t="str">
        <f aca="false">IF(A70="","",G70*J70/1000)</f>
        <v/>
      </c>
      <c r="L70" s="20" t="str">
        <f aca="false">IF(A70="","",I70*IFERROR(INDEX(设定!$C$5:$C$14,MATCH(C70,设定!$A$5:$A$14,0)),0))</f>
        <v/>
      </c>
      <c r="M70" s="21" t="str">
        <f aca="false">IF(A70="","",IF(L70&gt;0,K70/L70,0))</f>
        <v/>
      </c>
      <c r="N70" s="21" t="str">
        <f aca="false">IF(OR(A70="",H70=""),"",IF(J70&gt;0,(H70-J70)/J70,0))</f>
        <v/>
      </c>
      <c r="O70" s="22" t="str">
        <f aca="false">IF(OR(A70="",H70=""),"",IF(H70&lt;J70,"⚠ 低于标示",""))</f>
        <v/>
      </c>
      <c r="P70" s="19" t="n">
        <f aca="false">IF(OR(A70="",H70=""),0,G70*(H70-J70))</f>
        <v>0</v>
      </c>
      <c r="Q70" s="19" t="n">
        <f aca="false">IF(OR(A70="",H70=""),0,G70*J70)</f>
        <v>0</v>
      </c>
      <c r="R70" s="19" t="n">
        <f aca="false">IF(OR(A70="",H70=""),0,IF(H70&lt;J70,1,0))</f>
        <v>0</v>
      </c>
    </row>
    <row r="71" customFormat="false" ht="15" hidden="false" customHeight="false" outlineLevel="0" collapsed="false">
      <c r="A71" s="16"/>
      <c r="B71" s="17"/>
      <c r="C71" s="18"/>
      <c r="D71" s="17"/>
      <c r="E71" s="17"/>
      <c r="F71" s="17"/>
      <c r="G71" s="17"/>
      <c r="H71" s="17"/>
      <c r="I71" s="19" t="str">
        <f aca="false">IF(A71="","",D71*(E71-F71))</f>
        <v/>
      </c>
      <c r="J71" s="19" t="str">
        <f aca="false">IF(A71="","",IFERROR(INDEX(设定!$B$5:$B$14,MATCH(C71,设定!$A$5:$A$14,0)),0))</f>
        <v/>
      </c>
      <c r="K71" s="20" t="str">
        <f aca="false">IF(A71="","",G71*J71/1000)</f>
        <v/>
      </c>
      <c r="L71" s="20" t="str">
        <f aca="false">IF(A71="","",I71*IFERROR(INDEX(设定!$C$5:$C$14,MATCH(C71,设定!$A$5:$A$14,0)),0))</f>
        <v/>
      </c>
      <c r="M71" s="21" t="str">
        <f aca="false">IF(A71="","",IF(L71&gt;0,K71/L71,0))</f>
        <v/>
      </c>
      <c r="N71" s="21" t="str">
        <f aca="false">IF(OR(A71="",H71=""),"",IF(J71&gt;0,(H71-J71)/J71,0))</f>
        <v/>
      </c>
      <c r="O71" s="22" t="str">
        <f aca="false">IF(OR(A71="",H71=""),"",IF(H71&lt;J71,"⚠ 低于标示",""))</f>
        <v/>
      </c>
      <c r="P71" s="19" t="n">
        <f aca="false">IF(OR(A71="",H71=""),0,G71*(H71-J71))</f>
        <v>0</v>
      </c>
      <c r="Q71" s="19" t="n">
        <f aca="false">IF(OR(A71="",H71=""),0,G71*J71)</f>
        <v>0</v>
      </c>
      <c r="R71" s="19" t="n">
        <f aca="false">IF(OR(A71="",H71=""),0,IF(H71&lt;J71,1,0))</f>
        <v>0</v>
      </c>
    </row>
    <row r="72" customFormat="false" ht="15" hidden="false" customHeight="false" outlineLevel="0" collapsed="false">
      <c r="A72" s="16"/>
      <c r="B72" s="17"/>
      <c r="C72" s="18"/>
      <c r="D72" s="17"/>
      <c r="E72" s="17"/>
      <c r="F72" s="17"/>
      <c r="G72" s="17"/>
      <c r="H72" s="17"/>
      <c r="I72" s="19" t="str">
        <f aca="false">IF(A72="","",D72*(E72-F72))</f>
        <v/>
      </c>
      <c r="J72" s="19" t="str">
        <f aca="false">IF(A72="","",IFERROR(INDEX(设定!$B$5:$B$14,MATCH(C72,设定!$A$5:$A$14,0)),0))</f>
        <v/>
      </c>
      <c r="K72" s="20" t="str">
        <f aca="false">IF(A72="","",G72*J72/1000)</f>
        <v/>
      </c>
      <c r="L72" s="20" t="str">
        <f aca="false">IF(A72="","",I72*IFERROR(INDEX(设定!$C$5:$C$14,MATCH(C72,设定!$A$5:$A$14,0)),0))</f>
        <v/>
      </c>
      <c r="M72" s="21" t="str">
        <f aca="false">IF(A72="","",IF(L72&gt;0,K72/L72,0))</f>
        <v/>
      </c>
      <c r="N72" s="21" t="str">
        <f aca="false">IF(OR(A72="",H72=""),"",IF(J72&gt;0,(H72-J72)/J72,0))</f>
        <v/>
      </c>
      <c r="O72" s="22" t="str">
        <f aca="false">IF(OR(A72="",H72=""),"",IF(H72&lt;J72,"⚠ 低于标示",""))</f>
        <v/>
      </c>
      <c r="P72" s="19" t="n">
        <f aca="false">IF(OR(A72="",H72=""),0,G72*(H72-J72))</f>
        <v>0</v>
      </c>
      <c r="Q72" s="19" t="n">
        <f aca="false">IF(OR(A72="",H72=""),0,G72*J72)</f>
        <v>0</v>
      </c>
      <c r="R72" s="19" t="n">
        <f aca="false">IF(OR(A72="",H72=""),0,IF(H72&lt;J72,1,0))</f>
        <v>0</v>
      </c>
    </row>
    <row r="73" customFormat="false" ht="15" hidden="false" customHeight="false" outlineLevel="0" collapsed="false">
      <c r="A73" s="16"/>
      <c r="B73" s="17"/>
      <c r="C73" s="18"/>
      <c r="D73" s="17"/>
      <c r="E73" s="17"/>
      <c r="F73" s="17"/>
      <c r="G73" s="17"/>
      <c r="H73" s="17"/>
      <c r="I73" s="19" t="str">
        <f aca="false">IF(A73="","",D73*(E73-F73))</f>
        <v/>
      </c>
      <c r="J73" s="19" t="str">
        <f aca="false">IF(A73="","",IFERROR(INDEX(设定!$B$5:$B$14,MATCH(C73,设定!$A$5:$A$14,0)),0))</f>
        <v/>
      </c>
      <c r="K73" s="20" t="str">
        <f aca="false">IF(A73="","",G73*J73/1000)</f>
        <v/>
      </c>
      <c r="L73" s="20" t="str">
        <f aca="false">IF(A73="","",I73*IFERROR(INDEX(设定!$C$5:$C$14,MATCH(C73,设定!$A$5:$A$14,0)),0))</f>
        <v/>
      </c>
      <c r="M73" s="21" t="str">
        <f aca="false">IF(A73="","",IF(L73&gt;0,K73/L73,0))</f>
        <v/>
      </c>
      <c r="N73" s="21" t="str">
        <f aca="false">IF(OR(A73="",H73=""),"",IF(J73&gt;0,(H73-J73)/J73,0))</f>
        <v/>
      </c>
      <c r="O73" s="22" t="str">
        <f aca="false">IF(OR(A73="",H73=""),"",IF(H73&lt;J73,"⚠ 低于标示",""))</f>
        <v/>
      </c>
      <c r="P73" s="19" t="n">
        <f aca="false">IF(OR(A73="",H73=""),0,G73*(H73-J73))</f>
        <v>0</v>
      </c>
      <c r="Q73" s="19" t="n">
        <f aca="false">IF(OR(A73="",H73=""),0,G73*J73)</f>
        <v>0</v>
      </c>
      <c r="R73" s="19" t="n">
        <f aca="false">IF(OR(A73="",H73=""),0,IF(H73&lt;J73,1,0))</f>
        <v>0</v>
      </c>
    </row>
    <row r="74" customFormat="false" ht="15" hidden="false" customHeight="false" outlineLevel="0" collapsed="false">
      <c r="A74" s="16"/>
      <c r="B74" s="17"/>
      <c r="C74" s="18"/>
      <c r="D74" s="17"/>
      <c r="E74" s="17"/>
      <c r="F74" s="17"/>
      <c r="G74" s="17"/>
      <c r="H74" s="17"/>
      <c r="I74" s="19" t="str">
        <f aca="false">IF(A74="","",D74*(E74-F74))</f>
        <v/>
      </c>
      <c r="J74" s="19" t="str">
        <f aca="false">IF(A74="","",IFERROR(INDEX(设定!$B$5:$B$14,MATCH(C74,设定!$A$5:$A$14,0)),0))</f>
        <v/>
      </c>
      <c r="K74" s="20" t="str">
        <f aca="false">IF(A74="","",G74*J74/1000)</f>
        <v/>
      </c>
      <c r="L74" s="20" t="str">
        <f aca="false">IF(A74="","",I74*IFERROR(INDEX(设定!$C$5:$C$14,MATCH(C74,设定!$A$5:$A$14,0)),0))</f>
        <v/>
      </c>
      <c r="M74" s="21" t="str">
        <f aca="false">IF(A74="","",IF(L74&gt;0,K74/L74,0))</f>
        <v/>
      </c>
      <c r="N74" s="21" t="str">
        <f aca="false">IF(OR(A74="",H74=""),"",IF(J74&gt;0,(H74-J74)/J74,0))</f>
        <v/>
      </c>
      <c r="O74" s="22" t="str">
        <f aca="false">IF(OR(A74="",H74=""),"",IF(H74&lt;J74,"⚠ 低于标示",""))</f>
        <v/>
      </c>
      <c r="P74" s="19" t="n">
        <f aca="false">IF(OR(A74="",H74=""),0,G74*(H74-J74))</f>
        <v>0</v>
      </c>
      <c r="Q74" s="19" t="n">
        <f aca="false">IF(OR(A74="",H74=""),0,G74*J74)</f>
        <v>0</v>
      </c>
      <c r="R74" s="19" t="n">
        <f aca="false">IF(OR(A74="",H74=""),0,IF(H74&lt;J74,1,0))</f>
        <v>0</v>
      </c>
    </row>
    <row r="75" customFormat="false" ht="15" hidden="false" customHeight="false" outlineLevel="0" collapsed="false">
      <c r="A75" s="16"/>
      <c r="B75" s="17"/>
      <c r="C75" s="18"/>
      <c r="D75" s="17"/>
      <c r="E75" s="17"/>
      <c r="F75" s="17"/>
      <c r="G75" s="17"/>
      <c r="H75" s="17"/>
      <c r="I75" s="19" t="str">
        <f aca="false">IF(A75="","",D75*(E75-F75))</f>
        <v/>
      </c>
      <c r="J75" s="19" t="str">
        <f aca="false">IF(A75="","",IFERROR(INDEX(设定!$B$5:$B$14,MATCH(C75,设定!$A$5:$A$14,0)),0))</f>
        <v/>
      </c>
      <c r="K75" s="20" t="str">
        <f aca="false">IF(A75="","",G75*J75/1000)</f>
        <v/>
      </c>
      <c r="L75" s="20" t="str">
        <f aca="false">IF(A75="","",I75*IFERROR(INDEX(设定!$C$5:$C$14,MATCH(C75,设定!$A$5:$A$14,0)),0))</f>
        <v/>
      </c>
      <c r="M75" s="21" t="str">
        <f aca="false">IF(A75="","",IF(L75&gt;0,K75/L75,0))</f>
        <v/>
      </c>
      <c r="N75" s="21" t="str">
        <f aca="false">IF(OR(A75="",H75=""),"",IF(J75&gt;0,(H75-J75)/J75,0))</f>
        <v/>
      </c>
      <c r="O75" s="22" t="str">
        <f aca="false">IF(OR(A75="",H75=""),"",IF(H75&lt;J75,"⚠ 低于标示",""))</f>
        <v/>
      </c>
      <c r="P75" s="19" t="n">
        <f aca="false">IF(OR(A75="",H75=""),0,G75*(H75-J75))</f>
        <v>0</v>
      </c>
      <c r="Q75" s="19" t="n">
        <f aca="false">IF(OR(A75="",H75=""),0,G75*J75)</f>
        <v>0</v>
      </c>
      <c r="R75" s="19" t="n">
        <f aca="false">IF(OR(A75="",H75=""),0,IF(H75&lt;J75,1,0))</f>
        <v>0</v>
      </c>
    </row>
    <row r="76" customFormat="false" ht="15" hidden="false" customHeight="false" outlineLevel="0" collapsed="false">
      <c r="A76" s="16"/>
      <c r="B76" s="17"/>
      <c r="C76" s="18"/>
      <c r="D76" s="17"/>
      <c r="E76" s="17"/>
      <c r="F76" s="17"/>
      <c r="G76" s="17"/>
      <c r="H76" s="17"/>
      <c r="I76" s="19" t="str">
        <f aca="false">IF(A76="","",D76*(E76-F76))</f>
        <v/>
      </c>
      <c r="J76" s="19" t="str">
        <f aca="false">IF(A76="","",IFERROR(INDEX(设定!$B$5:$B$14,MATCH(C76,设定!$A$5:$A$14,0)),0))</f>
        <v/>
      </c>
      <c r="K76" s="20" t="str">
        <f aca="false">IF(A76="","",G76*J76/1000)</f>
        <v/>
      </c>
      <c r="L76" s="20" t="str">
        <f aca="false">IF(A76="","",I76*IFERROR(INDEX(设定!$C$5:$C$14,MATCH(C76,设定!$A$5:$A$14,0)),0))</f>
        <v/>
      </c>
      <c r="M76" s="21" t="str">
        <f aca="false">IF(A76="","",IF(L76&gt;0,K76/L76,0))</f>
        <v/>
      </c>
      <c r="N76" s="21" t="str">
        <f aca="false">IF(OR(A76="",H76=""),"",IF(J76&gt;0,(H76-J76)/J76,0))</f>
        <v/>
      </c>
      <c r="O76" s="22" t="str">
        <f aca="false">IF(OR(A76="",H76=""),"",IF(H76&lt;J76,"⚠ 低于标示",""))</f>
        <v/>
      </c>
      <c r="P76" s="19" t="n">
        <f aca="false">IF(OR(A76="",H76=""),0,G76*(H76-J76))</f>
        <v>0</v>
      </c>
      <c r="Q76" s="19" t="n">
        <f aca="false">IF(OR(A76="",H76=""),0,G76*J76)</f>
        <v>0</v>
      </c>
      <c r="R76" s="19" t="n">
        <f aca="false">IF(OR(A76="",H76=""),0,IF(H76&lt;J76,1,0))</f>
        <v>0</v>
      </c>
    </row>
    <row r="77" customFormat="false" ht="15" hidden="false" customHeight="false" outlineLevel="0" collapsed="false">
      <c r="A77" s="16"/>
      <c r="B77" s="17"/>
      <c r="C77" s="18"/>
      <c r="D77" s="17"/>
      <c r="E77" s="17"/>
      <c r="F77" s="17"/>
      <c r="G77" s="17"/>
      <c r="H77" s="17"/>
      <c r="I77" s="19" t="str">
        <f aca="false">IF(A77="","",D77*(E77-F77))</f>
        <v/>
      </c>
      <c r="J77" s="19" t="str">
        <f aca="false">IF(A77="","",IFERROR(INDEX(设定!$B$5:$B$14,MATCH(C77,设定!$A$5:$A$14,0)),0))</f>
        <v/>
      </c>
      <c r="K77" s="20" t="str">
        <f aca="false">IF(A77="","",G77*J77/1000)</f>
        <v/>
      </c>
      <c r="L77" s="20" t="str">
        <f aca="false">IF(A77="","",I77*IFERROR(INDEX(设定!$C$5:$C$14,MATCH(C77,设定!$A$5:$A$14,0)),0))</f>
        <v/>
      </c>
      <c r="M77" s="21" t="str">
        <f aca="false">IF(A77="","",IF(L77&gt;0,K77/L77,0))</f>
        <v/>
      </c>
      <c r="N77" s="21" t="str">
        <f aca="false">IF(OR(A77="",H77=""),"",IF(J77&gt;0,(H77-J77)/J77,0))</f>
        <v/>
      </c>
      <c r="O77" s="22" t="str">
        <f aca="false">IF(OR(A77="",H77=""),"",IF(H77&lt;J77,"⚠ 低于标示",""))</f>
        <v/>
      </c>
      <c r="P77" s="19" t="n">
        <f aca="false">IF(OR(A77="",H77=""),0,G77*(H77-J77))</f>
        <v>0</v>
      </c>
      <c r="Q77" s="19" t="n">
        <f aca="false">IF(OR(A77="",H77=""),0,G77*J77)</f>
        <v>0</v>
      </c>
      <c r="R77" s="19" t="n">
        <f aca="false">IF(OR(A77="",H77=""),0,IF(H77&lt;J77,1,0))</f>
        <v>0</v>
      </c>
    </row>
    <row r="78" customFormat="false" ht="15" hidden="false" customHeight="false" outlineLevel="0" collapsed="false">
      <c r="A78" s="16"/>
      <c r="B78" s="17"/>
      <c r="C78" s="18"/>
      <c r="D78" s="17"/>
      <c r="E78" s="17"/>
      <c r="F78" s="17"/>
      <c r="G78" s="17"/>
      <c r="H78" s="17"/>
      <c r="I78" s="19" t="str">
        <f aca="false">IF(A78="","",D78*(E78-F78))</f>
        <v/>
      </c>
      <c r="J78" s="19" t="str">
        <f aca="false">IF(A78="","",IFERROR(INDEX(设定!$B$5:$B$14,MATCH(C78,设定!$A$5:$A$14,0)),0))</f>
        <v/>
      </c>
      <c r="K78" s="20" t="str">
        <f aca="false">IF(A78="","",G78*J78/1000)</f>
        <v/>
      </c>
      <c r="L78" s="20" t="str">
        <f aca="false">IF(A78="","",I78*IFERROR(INDEX(设定!$C$5:$C$14,MATCH(C78,设定!$A$5:$A$14,0)),0))</f>
        <v/>
      </c>
      <c r="M78" s="21" t="str">
        <f aca="false">IF(A78="","",IF(L78&gt;0,K78/L78,0))</f>
        <v/>
      </c>
      <c r="N78" s="21" t="str">
        <f aca="false">IF(OR(A78="",H78=""),"",IF(J78&gt;0,(H78-J78)/J78,0))</f>
        <v/>
      </c>
      <c r="O78" s="22" t="str">
        <f aca="false">IF(OR(A78="",H78=""),"",IF(H78&lt;J78,"⚠ 低于标示",""))</f>
        <v/>
      </c>
      <c r="P78" s="19" t="n">
        <f aca="false">IF(OR(A78="",H78=""),0,G78*(H78-J78))</f>
        <v>0</v>
      </c>
      <c r="Q78" s="19" t="n">
        <f aca="false">IF(OR(A78="",H78=""),0,G78*J78)</f>
        <v>0</v>
      </c>
      <c r="R78" s="19" t="n">
        <f aca="false">IF(OR(A78="",H78=""),0,IF(H78&lt;J78,1,0))</f>
        <v>0</v>
      </c>
    </row>
    <row r="79" customFormat="false" ht="15" hidden="false" customHeight="false" outlineLevel="0" collapsed="false">
      <c r="A79" s="16"/>
      <c r="B79" s="17"/>
      <c r="C79" s="18"/>
      <c r="D79" s="17"/>
      <c r="E79" s="17"/>
      <c r="F79" s="17"/>
      <c r="G79" s="17"/>
      <c r="H79" s="17"/>
      <c r="I79" s="19" t="str">
        <f aca="false">IF(A79="","",D79*(E79-F79))</f>
        <v/>
      </c>
      <c r="J79" s="19" t="str">
        <f aca="false">IF(A79="","",IFERROR(INDEX(设定!$B$5:$B$14,MATCH(C79,设定!$A$5:$A$14,0)),0))</f>
        <v/>
      </c>
      <c r="K79" s="20" t="str">
        <f aca="false">IF(A79="","",G79*J79/1000)</f>
        <v/>
      </c>
      <c r="L79" s="20" t="str">
        <f aca="false">IF(A79="","",I79*IFERROR(INDEX(设定!$C$5:$C$14,MATCH(C79,设定!$A$5:$A$14,0)),0))</f>
        <v/>
      </c>
      <c r="M79" s="21" t="str">
        <f aca="false">IF(A79="","",IF(L79&gt;0,K79/L79,0))</f>
        <v/>
      </c>
      <c r="N79" s="21" t="str">
        <f aca="false">IF(OR(A79="",H79=""),"",IF(J79&gt;0,(H79-J79)/J79,0))</f>
        <v/>
      </c>
      <c r="O79" s="22" t="str">
        <f aca="false">IF(OR(A79="",H79=""),"",IF(H79&lt;J79,"⚠ 低于标示",""))</f>
        <v/>
      </c>
      <c r="P79" s="19" t="n">
        <f aca="false">IF(OR(A79="",H79=""),0,G79*(H79-J79))</f>
        <v>0</v>
      </c>
      <c r="Q79" s="19" t="n">
        <f aca="false">IF(OR(A79="",H79=""),0,G79*J79)</f>
        <v>0</v>
      </c>
      <c r="R79" s="19" t="n">
        <f aca="false">IF(OR(A79="",H79=""),0,IF(H79&lt;J79,1,0))</f>
        <v>0</v>
      </c>
    </row>
    <row r="80" customFormat="false" ht="15" hidden="false" customHeight="false" outlineLevel="0" collapsed="false">
      <c r="A80" s="16"/>
      <c r="B80" s="17"/>
      <c r="C80" s="18"/>
      <c r="D80" s="17"/>
      <c r="E80" s="17"/>
      <c r="F80" s="17"/>
      <c r="G80" s="17"/>
      <c r="H80" s="17"/>
      <c r="I80" s="19" t="str">
        <f aca="false">IF(A80="","",D80*(E80-F80))</f>
        <v/>
      </c>
      <c r="J80" s="19" t="str">
        <f aca="false">IF(A80="","",IFERROR(INDEX(设定!$B$5:$B$14,MATCH(C80,设定!$A$5:$A$14,0)),0))</f>
        <v/>
      </c>
      <c r="K80" s="20" t="str">
        <f aca="false">IF(A80="","",G80*J80/1000)</f>
        <v/>
      </c>
      <c r="L80" s="20" t="str">
        <f aca="false">IF(A80="","",I80*IFERROR(INDEX(设定!$C$5:$C$14,MATCH(C80,设定!$A$5:$A$14,0)),0))</f>
        <v/>
      </c>
      <c r="M80" s="21" t="str">
        <f aca="false">IF(A80="","",IF(L80&gt;0,K80/L80,0))</f>
        <v/>
      </c>
      <c r="N80" s="21" t="str">
        <f aca="false">IF(OR(A80="",H80=""),"",IF(J80&gt;0,(H80-J80)/J80,0))</f>
        <v/>
      </c>
      <c r="O80" s="22" t="str">
        <f aca="false">IF(OR(A80="",H80=""),"",IF(H80&lt;J80,"⚠ 低于标示",""))</f>
        <v/>
      </c>
      <c r="P80" s="19" t="n">
        <f aca="false">IF(OR(A80="",H80=""),0,G80*(H80-J80))</f>
        <v>0</v>
      </c>
      <c r="Q80" s="19" t="n">
        <f aca="false">IF(OR(A80="",H80=""),0,G80*J80)</f>
        <v>0</v>
      </c>
      <c r="R80" s="19" t="n">
        <f aca="false">IF(OR(A80="",H80=""),0,IF(H80&lt;J80,1,0))</f>
        <v>0</v>
      </c>
    </row>
    <row r="81" customFormat="false" ht="15" hidden="false" customHeight="false" outlineLevel="0" collapsed="false">
      <c r="A81" s="16"/>
      <c r="B81" s="17"/>
      <c r="C81" s="18"/>
      <c r="D81" s="17"/>
      <c r="E81" s="17"/>
      <c r="F81" s="17"/>
      <c r="G81" s="17"/>
      <c r="H81" s="17"/>
      <c r="I81" s="19" t="str">
        <f aca="false">IF(A81="","",D81*(E81-F81))</f>
        <v/>
      </c>
      <c r="J81" s="19" t="str">
        <f aca="false">IF(A81="","",IFERROR(INDEX(设定!$B$5:$B$14,MATCH(C81,设定!$A$5:$A$14,0)),0))</f>
        <v/>
      </c>
      <c r="K81" s="20" t="str">
        <f aca="false">IF(A81="","",G81*J81/1000)</f>
        <v/>
      </c>
      <c r="L81" s="20" t="str">
        <f aca="false">IF(A81="","",I81*IFERROR(INDEX(设定!$C$5:$C$14,MATCH(C81,设定!$A$5:$A$14,0)),0))</f>
        <v/>
      </c>
      <c r="M81" s="21" t="str">
        <f aca="false">IF(A81="","",IF(L81&gt;0,K81/L81,0))</f>
        <v/>
      </c>
      <c r="N81" s="21" t="str">
        <f aca="false">IF(OR(A81="",H81=""),"",IF(J81&gt;0,(H81-J81)/J81,0))</f>
        <v/>
      </c>
      <c r="O81" s="22" t="str">
        <f aca="false">IF(OR(A81="",H81=""),"",IF(H81&lt;J81,"⚠ 低于标示",""))</f>
        <v/>
      </c>
      <c r="P81" s="19" t="n">
        <f aca="false">IF(OR(A81="",H81=""),0,G81*(H81-J81))</f>
        <v>0</v>
      </c>
      <c r="Q81" s="19" t="n">
        <f aca="false">IF(OR(A81="",H81=""),0,G81*J81)</f>
        <v>0</v>
      </c>
      <c r="R81" s="19" t="n">
        <f aca="false">IF(OR(A81="",H81=""),0,IF(H81&lt;J81,1,0))</f>
        <v>0</v>
      </c>
    </row>
    <row r="82" customFormat="false" ht="15" hidden="false" customHeight="false" outlineLevel="0" collapsed="false">
      <c r="A82" s="16"/>
      <c r="B82" s="17"/>
      <c r="C82" s="18"/>
      <c r="D82" s="17"/>
      <c r="E82" s="17"/>
      <c r="F82" s="17"/>
      <c r="G82" s="17"/>
      <c r="H82" s="17"/>
      <c r="I82" s="19" t="str">
        <f aca="false">IF(A82="","",D82*(E82-F82))</f>
        <v/>
      </c>
      <c r="J82" s="19" t="str">
        <f aca="false">IF(A82="","",IFERROR(INDEX(设定!$B$5:$B$14,MATCH(C82,设定!$A$5:$A$14,0)),0))</f>
        <v/>
      </c>
      <c r="K82" s="20" t="str">
        <f aca="false">IF(A82="","",G82*J82/1000)</f>
        <v/>
      </c>
      <c r="L82" s="20" t="str">
        <f aca="false">IF(A82="","",I82*IFERROR(INDEX(设定!$C$5:$C$14,MATCH(C82,设定!$A$5:$A$14,0)),0))</f>
        <v/>
      </c>
      <c r="M82" s="21" t="str">
        <f aca="false">IF(A82="","",IF(L82&gt;0,K82/L82,0))</f>
        <v/>
      </c>
      <c r="N82" s="21" t="str">
        <f aca="false">IF(OR(A82="",H82=""),"",IF(J82&gt;0,(H82-J82)/J82,0))</f>
        <v/>
      </c>
      <c r="O82" s="22" t="str">
        <f aca="false">IF(OR(A82="",H82=""),"",IF(H82&lt;J82,"⚠ 低于标示",""))</f>
        <v/>
      </c>
      <c r="P82" s="19" t="n">
        <f aca="false">IF(OR(A82="",H82=""),0,G82*(H82-J82))</f>
        <v>0</v>
      </c>
      <c r="Q82" s="19" t="n">
        <f aca="false">IF(OR(A82="",H82=""),0,G82*J82)</f>
        <v>0</v>
      </c>
      <c r="R82" s="19" t="n">
        <f aca="false">IF(OR(A82="",H82=""),0,IF(H82&lt;J82,1,0))</f>
        <v>0</v>
      </c>
    </row>
    <row r="83" customFormat="false" ht="15" hidden="false" customHeight="false" outlineLevel="0" collapsed="false">
      <c r="A83" s="16"/>
      <c r="B83" s="17"/>
      <c r="C83" s="18"/>
      <c r="D83" s="17"/>
      <c r="E83" s="17"/>
      <c r="F83" s="17"/>
      <c r="G83" s="17"/>
      <c r="H83" s="17"/>
      <c r="I83" s="19" t="str">
        <f aca="false">IF(A83="","",D83*(E83-F83))</f>
        <v/>
      </c>
      <c r="J83" s="19" t="str">
        <f aca="false">IF(A83="","",IFERROR(INDEX(设定!$B$5:$B$14,MATCH(C83,设定!$A$5:$A$14,0)),0))</f>
        <v/>
      </c>
      <c r="K83" s="20" t="str">
        <f aca="false">IF(A83="","",G83*J83/1000)</f>
        <v/>
      </c>
      <c r="L83" s="20" t="str">
        <f aca="false">IF(A83="","",I83*IFERROR(INDEX(设定!$C$5:$C$14,MATCH(C83,设定!$A$5:$A$14,0)),0))</f>
        <v/>
      </c>
      <c r="M83" s="21" t="str">
        <f aca="false">IF(A83="","",IF(L83&gt;0,K83/L83,0))</f>
        <v/>
      </c>
      <c r="N83" s="21" t="str">
        <f aca="false">IF(OR(A83="",H83=""),"",IF(J83&gt;0,(H83-J83)/J83,0))</f>
        <v/>
      </c>
      <c r="O83" s="22" t="str">
        <f aca="false">IF(OR(A83="",H83=""),"",IF(H83&lt;J83,"⚠ 低于标示",""))</f>
        <v/>
      </c>
      <c r="P83" s="19" t="n">
        <f aca="false">IF(OR(A83="",H83=""),0,G83*(H83-J83))</f>
        <v>0</v>
      </c>
      <c r="Q83" s="19" t="n">
        <f aca="false">IF(OR(A83="",H83=""),0,G83*J83)</f>
        <v>0</v>
      </c>
      <c r="R83" s="19" t="n">
        <f aca="false">IF(OR(A83="",H83=""),0,IF(H83&lt;J83,1,0))</f>
        <v>0</v>
      </c>
    </row>
    <row r="84" customFormat="false" ht="15" hidden="false" customHeight="false" outlineLevel="0" collapsed="false">
      <c r="A84" s="16"/>
      <c r="B84" s="17"/>
      <c r="C84" s="18"/>
      <c r="D84" s="17"/>
      <c r="E84" s="17"/>
      <c r="F84" s="17"/>
      <c r="G84" s="17"/>
      <c r="H84" s="17"/>
      <c r="I84" s="19" t="str">
        <f aca="false">IF(A84="","",D84*(E84-F84))</f>
        <v/>
      </c>
      <c r="J84" s="19" t="str">
        <f aca="false">IF(A84="","",IFERROR(INDEX(设定!$B$5:$B$14,MATCH(C84,设定!$A$5:$A$14,0)),0))</f>
        <v/>
      </c>
      <c r="K84" s="20" t="str">
        <f aca="false">IF(A84="","",G84*J84/1000)</f>
        <v/>
      </c>
      <c r="L84" s="20" t="str">
        <f aca="false">IF(A84="","",I84*IFERROR(INDEX(设定!$C$5:$C$14,MATCH(C84,设定!$A$5:$A$14,0)),0))</f>
        <v/>
      </c>
      <c r="M84" s="21" t="str">
        <f aca="false">IF(A84="","",IF(L84&gt;0,K84/L84,0))</f>
        <v/>
      </c>
      <c r="N84" s="21" t="str">
        <f aca="false">IF(OR(A84="",H84=""),"",IF(J84&gt;0,(H84-J84)/J84,0))</f>
        <v/>
      </c>
      <c r="O84" s="22" t="str">
        <f aca="false">IF(OR(A84="",H84=""),"",IF(H84&lt;J84,"⚠ 低于标示",""))</f>
        <v/>
      </c>
      <c r="P84" s="19" t="n">
        <f aca="false">IF(OR(A84="",H84=""),0,G84*(H84-J84))</f>
        <v>0</v>
      </c>
      <c r="Q84" s="19" t="n">
        <f aca="false">IF(OR(A84="",H84=""),0,G84*J84)</f>
        <v>0</v>
      </c>
      <c r="R84" s="19" t="n">
        <f aca="false">IF(OR(A84="",H84=""),0,IF(H84&lt;J84,1,0))</f>
        <v>0</v>
      </c>
    </row>
    <row r="85" customFormat="false" ht="15" hidden="false" customHeight="false" outlineLevel="0" collapsed="false">
      <c r="A85" s="16"/>
      <c r="B85" s="17"/>
      <c r="C85" s="18"/>
      <c r="D85" s="17"/>
      <c r="E85" s="17"/>
      <c r="F85" s="17"/>
      <c r="G85" s="17"/>
      <c r="H85" s="17"/>
      <c r="I85" s="19" t="str">
        <f aca="false">IF(A85="","",D85*(E85-F85))</f>
        <v/>
      </c>
      <c r="J85" s="19" t="str">
        <f aca="false">IF(A85="","",IFERROR(INDEX(设定!$B$5:$B$14,MATCH(C85,设定!$A$5:$A$14,0)),0))</f>
        <v/>
      </c>
      <c r="K85" s="20" t="str">
        <f aca="false">IF(A85="","",G85*J85/1000)</f>
        <v/>
      </c>
      <c r="L85" s="20" t="str">
        <f aca="false">IF(A85="","",I85*IFERROR(INDEX(设定!$C$5:$C$14,MATCH(C85,设定!$A$5:$A$14,0)),0))</f>
        <v/>
      </c>
      <c r="M85" s="21" t="str">
        <f aca="false">IF(A85="","",IF(L85&gt;0,K85/L85,0))</f>
        <v/>
      </c>
      <c r="N85" s="21" t="str">
        <f aca="false">IF(OR(A85="",H85=""),"",IF(J85&gt;0,(H85-J85)/J85,0))</f>
        <v/>
      </c>
      <c r="O85" s="22" t="str">
        <f aca="false">IF(OR(A85="",H85=""),"",IF(H85&lt;J85,"⚠ 低于标示",""))</f>
        <v/>
      </c>
      <c r="P85" s="19" t="n">
        <f aca="false">IF(OR(A85="",H85=""),0,G85*(H85-J85))</f>
        <v>0</v>
      </c>
      <c r="Q85" s="19" t="n">
        <f aca="false">IF(OR(A85="",H85=""),0,G85*J85)</f>
        <v>0</v>
      </c>
      <c r="R85" s="19" t="n">
        <f aca="false">IF(OR(A85="",H85=""),0,IF(H85&lt;J85,1,0))</f>
        <v>0</v>
      </c>
    </row>
    <row r="86" customFormat="false" ht="15" hidden="false" customHeight="false" outlineLevel="0" collapsed="false">
      <c r="A86" s="16"/>
      <c r="B86" s="17"/>
      <c r="C86" s="18"/>
      <c r="D86" s="17"/>
      <c r="E86" s="17"/>
      <c r="F86" s="17"/>
      <c r="G86" s="17"/>
      <c r="H86" s="17"/>
      <c r="I86" s="19" t="str">
        <f aca="false">IF(A86="","",D86*(E86-F86))</f>
        <v/>
      </c>
      <c r="J86" s="19" t="str">
        <f aca="false">IF(A86="","",IFERROR(INDEX(设定!$B$5:$B$14,MATCH(C86,设定!$A$5:$A$14,0)),0))</f>
        <v/>
      </c>
      <c r="K86" s="20" t="str">
        <f aca="false">IF(A86="","",G86*J86/1000)</f>
        <v/>
      </c>
      <c r="L86" s="20" t="str">
        <f aca="false">IF(A86="","",I86*IFERROR(INDEX(设定!$C$5:$C$14,MATCH(C86,设定!$A$5:$A$14,0)),0))</f>
        <v/>
      </c>
      <c r="M86" s="21" t="str">
        <f aca="false">IF(A86="","",IF(L86&gt;0,K86/L86,0))</f>
        <v/>
      </c>
      <c r="N86" s="21" t="str">
        <f aca="false">IF(OR(A86="",H86=""),"",IF(J86&gt;0,(H86-J86)/J86,0))</f>
        <v/>
      </c>
      <c r="O86" s="22" t="str">
        <f aca="false">IF(OR(A86="",H86=""),"",IF(H86&lt;J86,"⚠ 低于标示",""))</f>
        <v/>
      </c>
      <c r="P86" s="19" t="n">
        <f aca="false">IF(OR(A86="",H86=""),0,G86*(H86-J86))</f>
        <v>0</v>
      </c>
      <c r="Q86" s="19" t="n">
        <f aca="false">IF(OR(A86="",H86=""),0,G86*J86)</f>
        <v>0</v>
      </c>
      <c r="R86" s="19" t="n">
        <f aca="false">IF(OR(A86="",H86=""),0,IF(H86&lt;J86,1,0))</f>
        <v>0</v>
      </c>
    </row>
    <row r="87" customFormat="false" ht="15" hidden="false" customHeight="false" outlineLevel="0" collapsed="false">
      <c r="A87" s="16"/>
      <c r="B87" s="17"/>
      <c r="C87" s="18"/>
      <c r="D87" s="17"/>
      <c r="E87" s="17"/>
      <c r="F87" s="17"/>
      <c r="G87" s="17"/>
      <c r="H87" s="17"/>
      <c r="I87" s="19" t="str">
        <f aca="false">IF(A87="","",D87*(E87-F87))</f>
        <v/>
      </c>
      <c r="J87" s="19" t="str">
        <f aca="false">IF(A87="","",IFERROR(INDEX(设定!$B$5:$B$14,MATCH(C87,设定!$A$5:$A$14,0)),0))</f>
        <v/>
      </c>
      <c r="K87" s="20" t="str">
        <f aca="false">IF(A87="","",G87*J87/1000)</f>
        <v/>
      </c>
      <c r="L87" s="20" t="str">
        <f aca="false">IF(A87="","",I87*IFERROR(INDEX(设定!$C$5:$C$14,MATCH(C87,设定!$A$5:$A$14,0)),0))</f>
        <v/>
      </c>
      <c r="M87" s="21" t="str">
        <f aca="false">IF(A87="","",IF(L87&gt;0,K87/L87,0))</f>
        <v/>
      </c>
      <c r="N87" s="21" t="str">
        <f aca="false">IF(OR(A87="",H87=""),"",IF(J87&gt;0,(H87-J87)/J87,0))</f>
        <v/>
      </c>
      <c r="O87" s="22" t="str">
        <f aca="false">IF(OR(A87="",H87=""),"",IF(H87&lt;J87,"⚠ 低于标示",""))</f>
        <v/>
      </c>
      <c r="P87" s="19" t="n">
        <f aca="false">IF(OR(A87="",H87=""),0,G87*(H87-J87))</f>
        <v>0</v>
      </c>
      <c r="Q87" s="19" t="n">
        <f aca="false">IF(OR(A87="",H87=""),0,G87*J87)</f>
        <v>0</v>
      </c>
      <c r="R87" s="19" t="n">
        <f aca="false">IF(OR(A87="",H87=""),0,IF(H87&lt;J87,1,0))</f>
        <v>0</v>
      </c>
    </row>
    <row r="88" customFormat="false" ht="15" hidden="false" customHeight="false" outlineLevel="0" collapsed="false">
      <c r="A88" s="16"/>
      <c r="B88" s="17"/>
      <c r="C88" s="18"/>
      <c r="D88" s="17"/>
      <c r="E88" s="17"/>
      <c r="F88" s="17"/>
      <c r="G88" s="17"/>
      <c r="H88" s="17"/>
      <c r="I88" s="19" t="str">
        <f aca="false">IF(A88="","",D88*(E88-F88))</f>
        <v/>
      </c>
      <c r="J88" s="19" t="str">
        <f aca="false">IF(A88="","",IFERROR(INDEX(设定!$B$5:$B$14,MATCH(C88,设定!$A$5:$A$14,0)),0))</f>
        <v/>
      </c>
      <c r="K88" s="20" t="str">
        <f aca="false">IF(A88="","",G88*J88/1000)</f>
        <v/>
      </c>
      <c r="L88" s="20" t="str">
        <f aca="false">IF(A88="","",I88*IFERROR(INDEX(设定!$C$5:$C$14,MATCH(C88,设定!$A$5:$A$14,0)),0))</f>
        <v/>
      </c>
      <c r="M88" s="21" t="str">
        <f aca="false">IF(A88="","",IF(L88&gt;0,K88/L88,0))</f>
        <v/>
      </c>
      <c r="N88" s="21" t="str">
        <f aca="false">IF(OR(A88="",H88=""),"",IF(J88&gt;0,(H88-J88)/J88,0))</f>
        <v/>
      </c>
      <c r="O88" s="22" t="str">
        <f aca="false">IF(OR(A88="",H88=""),"",IF(H88&lt;J88,"⚠ 低于标示",""))</f>
        <v/>
      </c>
      <c r="P88" s="19" t="n">
        <f aca="false">IF(OR(A88="",H88=""),0,G88*(H88-J88))</f>
        <v>0</v>
      </c>
      <c r="Q88" s="19" t="n">
        <f aca="false">IF(OR(A88="",H88=""),0,G88*J88)</f>
        <v>0</v>
      </c>
      <c r="R88" s="19" t="n">
        <f aca="false">IF(OR(A88="",H88=""),0,IF(H88&lt;J88,1,0))</f>
        <v>0</v>
      </c>
    </row>
    <row r="89" customFormat="false" ht="15" hidden="false" customHeight="false" outlineLevel="0" collapsed="false">
      <c r="A89" s="16"/>
      <c r="B89" s="17"/>
      <c r="C89" s="18"/>
      <c r="D89" s="17"/>
      <c r="E89" s="17"/>
      <c r="F89" s="17"/>
      <c r="G89" s="17"/>
      <c r="H89" s="17"/>
      <c r="I89" s="19" t="str">
        <f aca="false">IF(A89="","",D89*(E89-F89))</f>
        <v/>
      </c>
      <c r="J89" s="19" t="str">
        <f aca="false">IF(A89="","",IFERROR(INDEX(设定!$B$5:$B$14,MATCH(C89,设定!$A$5:$A$14,0)),0))</f>
        <v/>
      </c>
      <c r="K89" s="20" t="str">
        <f aca="false">IF(A89="","",G89*J89/1000)</f>
        <v/>
      </c>
      <c r="L89" s="20" t="str">
        <f aca="false">IF(A89="","",I89*IFERROR(INDEX(设定!$C$5:$C$14,MATCH(C89,设定!$A$5:$A$14,0)),0))</f>
        <v/>
      </c>
      <c r="M89" s="21" t="str">
        <f aca="false">IF(A89="","",IF(L89&gt;0,K89/L89,0))</f>
        <v/>
      </c>
      <c r="N89" s="21" t="str">
        <f aca="false">IF(OR(A89="",H89=""),"",IF(J89&gt;0,(H89-J89)/J89,0))</f>
        <v/>
      </c>
      <c r="O89" s="22" t="str">
        <f aca="false">IF(OR(A89="",H89=""),"",IF(H89&lt;J89,"⚠ 低于标示",""))</f>
        <v/>
      </c>
      <c r="P89" s="19" t="n">
        <f aca="false">IF(OR(A89="",H89=""),0,G89*(H89-J89))</f>
        <v>0</v>
      </c>
      <c r="Q89" s="19" t="n">
        <f aca="false">IF(OR(A89="",H89=""),0,G89*J89)</f>
        <v>0</v>
      </c>
      <c r="R89" s="19" t="n">
        <f aca="false">IF(OR(A89="",H89=""),0,IF(H89&lt;J89,1,0))</f>
        <v>0</v>
      </c>
    </row>
    <row r="90" customFormat="false" ht="15" hidden="false" customHeight="false" outlineLevel="0" collapsed="false">
      <c r="A90" s="16"/>
      <c r="B90" s="17"/>
      <c r="C90" s="18"/>
      <c r="D90" s="17"/>
      <c r="E90" s="17"/>
      <c r="F90" s="17"/>
      <c r="G90" s="17"/>
      <c r="H90" s="17"/>
      <c r="I90" s="19" t="str">
        <f aca="false">IF(A90="","",D90*(E90-F90))</f>
        <v/>
      </c>
      <c r="J90" s="19" t="str">
        <f aca="false">IF(A90="","",IFERROR(INDEX(设定!$B$5:$B$14,MATCH(C90,设定!$A$5:$A$14,0)),0))</f>
        <v/>
      </c>
      <c r="K90" s="20" t="str">
        <f aca="false">IF(A90="","",G90*J90/1000)</f>
        <v/>
      </c>
      <c r="L90" s="20" t="str">
        <f aca="false">IF(A90="","",I90*IFERROR(INDEX(设定!$C$5:$C$14,MATCH(C90,设定!$A$5:$A$14,0)),0))</f>
        <v/>
      </c>
      <c r="M90" s="21" t="str">
        <f aca="false">IF(A90="","",IF(L90&gt;0,K90/L90,0))</f>
        <v/>
      </c>
      <c r="N90" s="21" t="str">
        <f aca="false">IF(OR(A90="",H90=""),"",IF(J90&gt;0,(H90-J90)/J90,0))</f>
        <v/>
      </c>
      <c r="O90" s="22" t="str">
        <f aca="false">IF(OR(A90="",H90=""),"",IF(H90&lt;J90,"⚠ 低于标示",""))</f>
        <v/>
      </c>
      <c r="P90" s="19" t="n">
        <f aca="false">IF(OR(A90="",H90=""),0,G90*(H90-J90))</f>
        <v>0</v>
      </c>
      <c r="Q90" s="19" t="n">
        <f aca="false">IF(OR(A90="",H90=""),0,G90*J90)</f>
        <v>0</v>
      </c>
      <c r="R90" s="19" t="n">
        <f aca="false">IF(OR(A90="",H90=""),0,IF(H90&lt;J90,1,0))</f>
        <v>0</v>
      </c>
    </row>
    <row r="91" customFormat="false" ht="15" hidden="false" customHeight="false" outlineLevel="0" collapsed="false">
      <c r="A91" s="16"/>
      <c r="B91" s="17"/>
      <c r="C91" s="18"/>
      <c r="D91" s="17"/>
      <c r="E91" s="17"/>
      <c r="F91" s="17"/>
      <c r="G91" s="17"/>
      <c r="H91" s="17"/>
      <c r="I91" s="19" t="str">
        <f aca="false">IF(A91="","",D91*(E91-F91))</f>
        <v/>
      </c>
      <c r="J91" s="19" t="str">
        <f aca="false">IF(A91="","",IFERROR(INDEX(设定!$B$5:$B$14,MATCH(C91,设定!$A$5:$A$14,0)),0))</f>
        <v/>
      </c>
      <c r="K91" s="20" t="str">
        <f aca="false">IF(A91="","",G91*J91/1000)</f>
        <v/>
      </c>
      <c r="L91" s="20" t="str">
        <f aca="false">IF(A91="","",I91*IFERROR(INDEX(设定!$C$5:$C$14,MATCH(C91,设定!$A$5:$A$14,0)),0))</f>
        <v/>
      </c>
      <c r="M91" s="21" t="str">
        <f aca="false">IF(A91="","",IF(L91&gt;0,K91/L91,0))</f>
        <v/>
      </c>
      <c r="N91" s="21" t="str">
        <f aca="false">IF(OR(A91="",H91=""),"",IF(J91&gt;0,(H91-J91)/J91,0))</f>
        <v/>
      </c>
      <c r="O91" s="22" t="str">
        <f aca="false">IF(OR(A91="",H91=""),"",IF(H91&lt;J91,"⚠ 低于标示",""))</f>
        <v/>
      </c>
      <c r="P91" s="19" t="n">
        <f aca="false">IF(OR(A91="",H91=""),0,G91*(H91-J91))</f>
        <v>0</v>
      </c>
      <c r="Q91" s="19" t="n">
        <f aca="false">IF(OR(A91="",H91=""),0,G91*J91)</f>
        <v>0</v>
      </c>
      <c r="R91" s="19" t="n">
        <f aca="false">IF(OR(A91="",H91=""),0,IF(H91&lt;J91,1,0))</f>
        <v>0</v>
      </c>
    </row>
    <row r="92" customFormat="false" ht="15" hidden="false" customHeight="false" outlineLevel="0" collapsed="false">
      <c r="A92" s="16"/>
      <c r="B92" s="17"/>
      <c r="C92" s="18"/>
      <c r="D92" s="17"/>
      <c r="E92" s="17"/>
      <c r="F92" s="17"/>
      <c r="G92" s="17"/>
      <c r="H92" s="17"/>
      <c r="I92" s="19" t="str">
        <f aca="false">IF(A92="","",D92*(E92-F92))</f>
        <v/>
      </c>
      <c r="J92" s="19" t="str">
        <f aca="false">IF(A92="","",IFERROR(INDEX(设定!$B$5:$B$14,MATCH(C92,设定!$A$5:$A$14,0)),0))</f>
        <v/>
      </c>
      <c r="K92" s="20" t="str">
        <f aca="false">IF(A92="","",G92*J92/1000)</f>
        <v/>
      </c>
      <c r="L92" s="20" t="str">
        <f aca="false">IF(A92="","",I92*IFERROR(INDEX(设定!$C$5:$C$14,MATCH(C92,设定!$A$5:$A$14,0)),0))</f>
        <v/>
      </c>
      <c r="M92" s="21" t="str">
        <f aca="false">IF(A92="","",IF(L92&gt;0,K92/L92,0))</f>
        <v/>
      </c>
      <c r="N92" s="21" t="str">
        <f aca="false">IF(OR(A92="",H92=""),"",IF(J92&gt;0,(H92-J92)/J92,0))</f>
        <v/>
      </c>
      <c r="O92" s="22" t="str">
        <f aca="false">IF(OR(A92="",H92=""),"",IF(H92&lt;J92,"⚠ 低于标示",""))</f>
        <v/>
      </c>
      <c r="P92" s="19" t="n">
        <f aca="false">IF(OR(A92="",H92=""),0,G92*(H92-J92))</f>
        <v>0</v>
      </c>
      <c r="Q92" s="19" t="n">
        <f aca="false">IF(OR(A92="",H92=""),0,G92*J92)</f>
        <v>0</v>
      </c>
      <c r="R92" s="19" t="n">
        <f aca="false">IF(OR(A92="",H92=""),0,IF(H92&lt;J92,1,0))</f>
        <v>0</v>
      </c>
    </row>
    <row r="93" customFormat="false" ht="15" hidden="false" customHeight="false" outlineLevel="0" collapsed="false">
      <c r="A93" s="16"/>
      <c r="B93" s="17"/>
      <c r="C93" s="18"/>
      <c r="D93" s="17"/>
      <c r="E93" s="17"/>
      <c r="F93" s="17"/>
      <c r="G93" s="17"/>
      <c r="H93" s="17"/>
      <c r="I93" s="19" t="str">
        <f aca="false">IF(A93="","",D93*(E93-F93))</f>
        <v/>
      </c>
      <c r="J93" s="19" t="str">
        <f aca="false">IF(A93="","",IFERROR(INDEX(设定!$B$5:$B$14,MATCH(C93,设定!$A$5:$A$14,0)),0))</f>
        <v/>
      </c>
      <c r="K93" s="20" t="str">
        <f aca="false">IF(A93="","",G93*J93/1000)</f>
        <v/>
      </c>
      <c r="L93" s="20" t="str">
        <f aca="false">IF(A93="","",I93*IFERROR(INDEX(设定!$C$5:$C$14,MATCH(C93,设定!$A$5:$A$14,0)),0))</f>
        <v/>
      </c>
      <c r="M93" s="21" t="str">
        <f aca="false">IF(A93="","",IF(L93&gt;0,K93/L93,0))</f>
        <v/>
      </c>
      <c r="N93" s="21" t="str">
        <f aca="false">IF(OR(A93="",H93=""),"",IF(J93&gt;0,(H93-J93)/J93,0))</f>
        <v/>
      </c>
      <c r="O93" s="22" t="str">
        <f aca="false">IF(OR(A93="",H93=""),"",IF(H93&lt;J93,"⚠ 低于标示",""))</f>
        <v/>
      </c>
      <c r="P93" s="19" t="n">
        <f aca="false">IF(OR(A93="",H93=""),0,G93*(H93-J93))</f>
        <v>0</v>
      </c>
      <c r="Q93" s="19" t="n">
        <f aca="false">IF(OR(A93="",H93=""),0,G93*J93)</f>
        <v>0</v>
      </c>
      <c r="R93" s="19" t="n">
        <f aca="false">IF(OR(A93="",H93=""),0,IF(H93&lt;J93,1,0))</f>
        <v>0</v>
      </c>
    </row>
    <row r="94" customFormat="false" ht="15" hidden="false" customHeight="false" outlineLevel="0" collapsed="false">
      <c r="A94" s="16"/>
      <c r="B94" s="17"/>
      <c r="C94" s="18"/>
      <c r="D94" s="17"/>
      <c r="E94" s="17"/>
      <c r="F94" s="17"/>
      <c r="G94" s="17"/>
      <c r="H94" s="17"/>
      <c r="I94" s="19" t="str">
        <f aca="false">IF(A94="","",D94*(E94-F94))</f>
        <v/>
      </c>
      <c r="J94" s="19" t="str">
        <f aca="false">IF(A94="","",IFERROR(INDEX(设定!$B$5:$B$14,MATCH(C94,设定!$A$5:$A$14,0)),0))</f>
        <v/>
      </c>
      <c r="K94" s="20" t="str">
        <f aca="false">IF(A94="","",G94*J94/1000)</f>
        <v/>
      </c>
      <c r="L94" s="20" t="str">
        <f aca="false">IF(A94="","",I94*IFERROR(INDEX(设定!$C$5:$C$14,MATCH(C94,设定!$A$5:$A$14,0)),0))</f>
        <v/>
      </c>
      <c r="M94" s="21" t="str">
        <f aca="false">IF(A94="","",IF(L94&gt;0,K94/L94,0))</f>
        <v/>
      </c>
      <c r="N94" s="21" t="str">
        <f aca="false">IF(OR(A94="",H94=""),"",IF(J94&gt;0,(H94-J94)/J94,0))</f>
        <v/>
      </c>
      <c r="O94" s="22" t="str">
        <f aca="false">IF(OR(A94="",H94=""),"",IF(H94&lt;J94,"⚠ 低于标示",""))</f>
        <v/>
      </c>
      <c r="P94" s="19" t="n">
        <f aca="false">IF(OR(A94="",H94=""),0,G94*(H94-J94))</f>
        <v>0</v>
      </c>
      <c r="Q94" s="19" t="n">
        <f aca="false">IF(OR(A94="",H94=""),0,G94*J94)</f>
        <v>0</v>
      </c>
      <c r="R94" s="19" t="n">
        <f aca="false">IF(OR(A94="",H94=""),0,IF(H94&lt;J94,1,0))</f>
        <v>0</v>
      </c>
    </row>
    <row r="95" customFormat="false" ht="15" hidden="false" customHeight="false" outlineLevel="0" collapsed="false">
      <c r="A95" s="16"/>
      <c r="B95" s="17"/>
      <c r="C95" s="18"/>
      <c r="D95" s="17"/>
      <c r="E95" s="17"/>
      <c r="F95" s="17"/>
      <c r="G95" s="17"/>
      <c r="H95" s="17"/>
      <c r="I95" s="19" t="str">
        <f aca="false">IF(A95="","",D95*(E95-F95))</f>
        <v/>
      </c>
      <c r="J95" s="19" t="str">
        <f aca="false">IF(A95="","",IFERROR(INDEX(设定!$B$5:$B$14,MATCH(C95,设定!$A$5:$A$14,0)),0))</f>
        <v/>
      </c>
      <c r="K95" s="20" t="str">
        <f aca="false">IF(A95="","",G95*J95/1000)</f>
        <v/>
      </c>
      <c r="L95" s="20" t="str">
        <f aca="false">IF(A95="","",I95*IFERROR(INDEX(设定!$C$5:$C$14,MATCH(C95,设定!$A$5:$A$14,0)),0))</f>
        <v/>
      </c>
      <c r="M95" s="21" t="str">
        <f aca="false">IF(A95="","",IF(L95&gt;0,K95/L95,0))</f>
        <v/>
      </c>
      <c r="N95" s="21" t="str">
        <f aca="false">IF(OR(A95="",H95=""),"",IF(J95&gt;0,(H95-J95)/J95,0))</f>
        <v/>
      </c>
      <c r="O95" s="22" t="str">
        <f aca="false">IF(OR(A95="",H95=""),"",IF(H95&lt;J95,"⚠ 低于标示",""))</f>
        <v/>
      </c>
      <c r="P95" s="19" t="n">
        <f aca="false">IF(OR(A95="",H95=""),0,G95*(H95-J95))</f>
        <v>0</v>
      </c>
      <c r="Q95" s="19" t="n">
        <f aca="false">IF(OR(A95="",H95=""),0,G95*J95)</f>
        <v>0</v>
      </c>
      <c r="R95" s="19" t="n">
        <f aca="false">IF(OR(A95="",H95=""),0,IF(H95&lt;J95,1,0))</f>
        <v>0</v>
      </c>
    </row>
    <row r="96" customFormat="false" ht="15" hidden="false" customHeight="false" outlineLevel="0" collapsed="false">
      <c r="A96" s="16"/>
      <c r="B96" s="17"/>
      <c r="C96" s="18"/>
      <c r="D96" s="17"/>
      <c r="E96" s="17"/>
      <c r="F96" s="17"/>
      <c r="G96" s="17"/>
      <c r="H96" s="17"/>
      <c r="I96" s="19" t="str">
        <f aca="false">IF(A96="","",D96*(E96-F96))</f>
        <v/>
      </c>
      <c r="J96" s="19" t="str">
        <f aca="false">IF(A96="","",IFERROR(INDEX(设定!$B$5:$B$14,MATCH(C96,设定!$A$5:$A$14,0)),0))</f>
        <v/>
      </c>
      <c r="K96" s="20" t="str">
        <f aca="false">IF(A96="","",G96*J96/1000)</f>
        <v/>
      </c>
      <c r="L96" s="20" t="str">
        <f aca="false">IF(A96="","",I96*IFERROR(INDEX(设定!$C$5:$C$14,MATCH(C96,设定!$A$5:$A$14,0)),0))</f>
        <v/>
      </c>
      <c r="M96" s="21" t="str">
        <f aca="false">IF(A96="","",IF(L96&gt;0,K96/L96,0))</f>
        <v/>
      </c>
      <c r="N96" s="21" t="str">
        <f aca="false">IF(OR(A96="",H96=""),"",IF(J96&gt;0,(H96-J96)/J96,0))</f>
        <v/>
      </c>
      <c r="O96" s="22" t="str">
        <f aca="false">IF(OR(A96="",H96=""),"",IF(H96&lt;J96,"⚠ 低于标示",""))</f>
        <v/>
      </c>
      <c r="P96" s="19" t="n">
        <f aca="false">IF(OR(A96="",H96=""),0,G96*(H96-J96))</f>
        <v>0</v>
      </c>
      <c r="Q96" s="19" t="n">
        <f aca="false">IF(OR(A96="",H96=""),0,G96*J96)</f>
        <v>0</v>
      </c>
      <c r="R96" s="19" t="n">
        <f aca="false">IF(OR(A96="",H96=""),0,IF(H96&lt;J96,1,0))</f>
        <v>0</v>
      </c>
    </row>
    <row r="97" customFormat="false" ht="15" hidden="false" customHeight="false" outlineLevel="0" collapsed="false">
      <c r="A97" s="16"/>
      <c r="B97" s="17"/>
      <c r="C97" s="18"/>
      <c r="D97" s="17"/>
      <c r="E97" s="17"/>
      <c r="F97" s="17"/>
      <c r="G97" s="17"/>
      <c r="H97" s="17"/>
      <c r="I97" s="19" t="str">
        <f aca="false">IF(A97="","",D97*(E97-F97))</f>
        <v/>
      </c>
      <c r="J97" s="19" t="str">
        <f aca="false">IF(A97="","",IFERROR(INDEX(设定!$B$5:$B$14,MATCH(C97,设定!$A$5:$A$14,0)),0))</f>
        <v/>
      </c>
      <c r="K97" s="20" t="str">
        <f aca="false">IF(A97="","",G97*J97/1000)</f>
        <v/>
      </c>
      <c r="L97" s="20" t="str">
        <f aca="false">IF(A97="","",I97*IFERROR(INDEX(设定!$C$5:$C$14,MATCH(C97,设定!$A$5:$A$14,0)),0))</f>
        <v/>
      </c>
      <c r="M97" s="21" t="str">
        <f aca="false">IF(A97="","",IF(L97&gt;0,K97/L97,0))</f>
        <v/>
      </c>
      <c r="N97" s="21" t="str">
        <f aca="false">IF(OR(A97="",H97=""),"",IF(J97&gt;0,(H97-J97)/J97,0))</f>
        <v/>
      </c>
      <c r="O97" s="22" t="str">
        <f aca="false">IF(OR(A97="",H97=""),"",IF(H97&lt;J97,"⚠ 低于标示",""))</f>
        <v/>
      </c>
      <c r="P97" s="19" t="n">
        <f aca="false">IF(OR(A97="",H97=""),0,G97*(H97-J97))</f>
        <v>0</v>
      </c>
      <c r="Q97" s="19" t="n">
        <f aca="false">IF(OR(A97="",H97=""),0,G97*J97)</f>
        <v>0</v>
      </c>
      <c r="R97" s="19" t="n">
        <f aca="false">IF(OR(A97="",H97=""),0,IF(H97&lt;J97,1,0))</f>
        <v>0</v>
      </c>
    </row>
    <row r="98" customFormat="false" ht="15" hidden="false" customHeight="false" outlineLevel="0" collapsed="false">
      <c r="A98" s="16"/>
      <c r="B98" s="17"/>
      <c r="C98" s="18"/>
      <c r="D98" s="17"/>
      <c r="E98" s="17"/>
      <c r="F98" s="17"/>
      <c r="G98" s="17"/>
      <c r="H98" s="17"/>
      <c r="I98" s="19" t="str">
        <f aca="false">IF(A98="","",D98*(E98-F98))</f>
        <v/>
      </c>
      <c r="J98" s="19" t="str">
        <f aca="false">IF(A98="","",IFERROR(INDEX(设定!$B$5:$B$14,MATCH(C98,设定!$A$5:$A$14,0)),0))</f>
        <v/>
      </c>
      <c r="K98" s="20" t="str">
        <f aca="false">IF(A98="","",G98*J98/1000)</f>
        <v/>
      </c>
      <c r="L98" s="20" t="str">
        <f aca="false">IF(A98="","",I98*IFERROR(INDEX(设定!$C$5:$C$14,MATCH(C98,设定!$A$5:$A$14,0)),0))</f>
        <v/>
      </c>
      <c r="M98" s="21" t="str">
        <f aca="false">IF(A98="","",IF(L98&gt;0,K98/L98,0))</f>
        <v/>
      </c>
      <c r="N98" s="21" t="str">
        <f aca="false">IF(OR(A98="",H98=""),"",IF(J98&gt;0,(H98-J98)/J98,0))</f>
        <v/>
      </c>
      <c r="O98" s="22" t="str">
        <f aca="false">IF(OR(A98="",H98=""),"",IF(H98&lt;J98,"⚠ 低于标示",""))</f>
        <v/>
      </c>
      <c r="P98" s="19" t="n">
        <f aca="false">IF(OR(A98="",H98=""),0,G98*(H98-J98))</f>
        <v>0</v>
      </c>
      <c r="Q98" s="19" t="n">
        <f aca="false">IF(OR(A98="",H98=""),0,G98*J98)</f>
        <v>0</v>
      </c>
      <c r="R98" s="19" t="n">
        <f aca="false">IF(OR(A98="",H98=""),0,IF(H98&lt;J98,1,0))</f>
        <v>0</v>
      </c>
    </row>
    <row r="99" customFormat="false" ht="15" hidden="false" customHeight="false" outlineLevel="0" collapsed="false">
      <c r="A99" s="16"/>
      <c r="B99" s="17"/>
      <c r="C99" s="18"/>
      <c r="D99" s="17"/>
      <c r="E99" s="17"/>
      <c r="F99" s="17"/>
      <c r="G99" s="17"/>
      <c r="H99" s="17"/>
      <c r="I99" s="19" t="str">
        <f aca="false">IF(A99="","",D99*(E99-F99))</f>
        <v/>
      </c>
      <c r="J99" s="19" t="str">
        <f aca="false">IF(A99="","",IFERROR(INDEX(设定!$B$5:$B$14,MATCH(C99,设定!$A$5:$A$14,0)),0))</f>
        <v/>
      </c>
      <c r="K99" s="20" t="str">
        <f aca="false">IF(A99="","",G99*J99/1000)</f>
        <v/>
      </c>
      <c r="L99" s="20" t="str">
        <f aca="false">IF(A99="","",I99*IFERROR(INDEX(设定!$C$5:$C$14,MATCH(C99,设定!$A$5:$A$14,0)),0))</f>
        <v/>
      </c>
      <c r="M99" s="21" t="str">
        <f aca="false">IF(A99="","",IF(L99&gt;0,K99/L99,0))</f>
        <v/>
      </c>
      <c r="N99" s="21" t="str">
        <f aca="false">IF(OR(A99="",H99=""),"",IF(J99&gt;0,(H99-J99)/J99,0))</f>
        <v/>
      </c>
      <c r="O99" s="22" t="str">
        <f aca="false">IF(OR(A99="",H99=""),"",IF(H99&lt;J99,"⚠ 低于标示",""))</f>
        <v/>
      </c>
      <c r="P99" s="19" t="n">
        <f aca="false">IF(OR(A99="",H99=""),0,G99*(H99-J99))</f>
        <v>0</v>
      </c>
      <c r="Q99" s="19" t="n">
        <f aca="false">IF(OR(A99="",H99=""),0,G99*J99)</f>
        <v>0</v>
      </c>
      <c r="R99" s="19" t="n">
        <f aca="false">IF(OR(A99="",H99=""),0,IF(H99&lt;J99,1,0))</f>
        <v>0</v>
      </c>
    </row>
    <row r="100" customFormat="false" ht="15" hidden="false" customHeight="false" outlineLevel="0" collapsed="false">
      <c r="A100" s="16"/>
      <c r="B100" s="17"/>
      <c r="C100" s="18"/>
      <c r="D100" s="17"/>
      <c r="E100" s="17"/>
      <c r="F100" s="17"/>
      <c r="G100" s="17"/>
      <c r="H100" s="17"/>
      <c r="I100" s="19" t="str">
        <f aca="false">IF(A100="","",D100*(E100-F100))</f>
        <v/>
      </c>
      <c r="J100" s="19" t="str">
        <f aca="false">IF(A100="","",IFERROR(INDEX(设定!$B$5:$B$14,MATCH(C100,设定!$A$5:$A$14,0)),0))</f>
        <v/>
      </c>
      <c r="K100" s="20" t="str">
        <f aca="false">IF(A100="","",G100*J100/1000)</f>
        <v/>
      </c>
      <c r="L100" s="20" t="str">
        <f aca="false">IF(A100="","",I100*IFERROR(INDEX(设定!$C$5:$C$14,MATCH(C100,设定!$A$5:$A$14,0)),0))</f>
        <v/>
      </c>
      <c r="M100" s="21" t="str">
        <f aca="false">IF(A100="","",IF(L100&gt;0,K100/L100,0))</f>
        <v/>
      </c>
      <c r="N100" s="21" t="str">
        <f aca="false">IF(OR(A100="",H100=""),"",IF(J100&gt;0,(H100-J100)/J100,0))</f>
        <v/>
      </c>
      <c r="O100" s="22" t="str">
        <f aca="false">IF(OR(A100="",H100=""),"",IF(H100&lt;J100,"⚠ 低于标示",""))</f>
        <v/>
      </c>
      <c r="P100" s="19" t="n">
        <f aca="false">IF(OR(A100="",H100=""),0,G100*(H100-J100))</f>
        <v>0</v>
      </c>
      <c r="Q100" s="19" t="n">
        <f aca="false">IF(OR(A100="",H100=""),0,G100*J100)</f>
        <v>0</v>
      </c>
      <c r="R100" s="19" t="n">
        <f aca="false">IF(OR(A100="",H100=""),0,IF(H100&lt;J100,1,0))</f>
        <v>0</v>
      </c>
    </row>
    <row r="101" customFormat="false" ht="15" hidden="false" customHeight="false" outlineLevel="0" collapsed="false">
      <c r="A101" s="16"/>
      <c r="B101" s="17"/>
      <c r="C101" s="18"/>
      <c r="D101" s="17"/>
      <c r="E101" s="17"/>
      <c r="F101" s="17"/>
      <c r="G101" s="17"/>
      <c r="H101" s="17"/>
      <c r="I101" s="19" t="str">
        <f aca="false">IF(A101="","",D101*(E101-F101))</f>
        <v/>
      </c>
      <c r="J101" s="19" t="str">
        <f aca="false">IF(A101="","",IFERROR(INDEX(设定!$B$5:$B$14,MATCH(C101,设定!$A$5:$A$14,0)),0))</f>
        <v/>
      </c>
      <c r="K101" s="20" t="str">
        <f aca="false">IF(A101="","",G101*J101/1000)</f>
        <v/>
      </c>
      <c r="L101" s="20" t="str">
        <f aca="false">IF(A101="","",I101*IFERROR(INDEX(设定!$C$5:$C$14,MATCH(C101,设定!$A$5:$A$14,0)),0))</f>
        <v/>
      </c>
      <c r="M101" s="21" t="str">
        <f aca="false">IF(A101="","",IF(L101&gt;0,K101/L101,0))</f>
        <v/>
      </c>
      <c r="N101" s="21" t="str">
        <f aca="false">IF(OR(A101="",H101=""),"",IF(J101&gt;0,(H101-J101)/J101,0))</f>
        <v/>
      </c>
      <c r="O101" s="22" t="str">
        <f aca="false">IF(OR(A101="",H101=""),"",IF(H101&lt;J101,"⚠ 低于标示",""))</f>
        <v/>
      </c>
      <c r="P101" s="19" t="n">
        <f aca="false">IF(OR(A101="",H101=""),0,G101*(H101-J101))</f>
        <v>0</v>
      </c>
      <c r="Q101" s="19" t="n">
        <f aca="false">IF(OR(A101="",H101=""),0,G101*J101)</f>
        <v>0</v>
      </c>
      <c r="R101" s="19" t="n">
        <f aca="false">IF(OR(A101="",H101=""),0,IF(H101&lt;J101,1,0))</f>
        <v>0</v>
      </c>
    </row>
    <row r="102" customFormat="false" ht="15" hidden="false" customHeight="false" outlineLevel="0" collapsed="false">
      <c r="A102" s="16"/>
      <c r="B102" s="17"/>
      <c r="C102" s="18"/>
      <c r="D102" s="17"/>
      <c r="E102" s="17"/>
      <c r="F102" s="17"/>
      <c r="G102" s="17"/>
      <c r="H102" s="17"/>
      <c r="I102" s="19" t="str">
        <f aca="false">IF(A102="","",D102*(E102-F102))</f>
        <v/>
      </c>
      <c r="J102" s="19" t="str">
        <f aca="false">IF(A102="","",IFERROR(INDEX(设定!$B$5:$B$14,MATCH(C102,设定!$A$5:$A$14,0)),0))</f>
        <v/>
      </c>
      <c r="K102" s="20" t="str">
        <f aca="false">IF(A102="","",G102*J102/1000)</f>
        <v/>
      </c>
      <c r="L102" s="20" t="str">
        <f aca="false">IF(A102="","",I102*IFERROR(INDEX(设定!$C$5:$C$14,MATCH(C102,设定!$A$5:$A$14,0)),0))</f>
        <v/>
      </c>
      <c r="M102" s="21" t="str">
        <f aca="false">IF(A102="","",IF(L102&gt;0,K102/L102,0))</f>
        <v/>
      </c>
      <c r="N102" s="21" t="str">
        <f aca="false">IF(OR(A102="",H102=""),"",IF(J102&gt;0,(H102-J102)/J102,0))</f>
        <v/>
      </c>
      <c r="O102" s="22" t="str">
        <f aca="false">IF(OR(A102="",H102=""),"",IF(H102&lt;J102,"⚠ 低于标示",""))</f>
        <v/>
      </c>
      <c r="P102" s="19" t="n">
        <f aca="false">IF(OR(A102="",H102=""),0,G102*(H102-J102))</f>
        <v>0</v>
      </c>
      <c r="Q102" s="19" t="n">
        <f aca="false">IF(OR(A102="",H102=""),0,G102*J102)</f>
        <v>0</v>
      </c>
      <c r="R102" s="19" t="n">
        <f aca="false">IF(OR(A102="",H102=""),0,IF(H102&lt;J102,1,0))</f>
        <v>0</v>
      </c>
    </row>
    <row r="103" customFormat="false" ht="15" hidden="false" customHeight="false" outlineLevel="0" collapsed="false">
      <c r="A103" s="16"/>
      <c r="B103" s="17"/>
      <c r="C103" s="18"/>
      <c r="D103" s="17"/>
      <c r="E103" s="17"/>
      <c r="F103" s="17"/>
      <c r="G103" s="17"/>
      <c r="H103" s="17"/>
      <c r="I103" s="19" t="str">
        <f aca="false">IF(A103="","",D103*(E103-F103))</f>
        <v/>
      </c>
      <c r="J103" s="19" t="str">
        <f aca="false">IF(A103="","",IFERROR(INDEX(设定!$B$5:$B$14,MATCH(C103,设定!$A$5:$A$14,0)),0))</f>
        <v/>
      </c>
      <c r="K103" s="20" t="str">
        <f aca="false">IF(A103="","",G103*J103/1000)</f>
        <v/>
      </c>
      <c r="L103" s="20" t="str">
        <f aca="false">IF(A103="","",I103*IFERROR(INDEX(设定!$C$5:$C$14,MATCH(C103,设定!$A$5:$A$14,0)),0))</f>
        <v/>
      </c>
      <c r="M103" s="21" t="str">
        <f aca="false">IF(A103="","",IF(L103&gt;0,K103/L103,0))</f>
        <v/>
      </c>
      <c r="N103" s="21" t="str">
        <f aca="false">IF(OR(A103="",H103=""),"",IF(J103&gt;0,(H103-J103)/J103,0))</f>
        <v/>
      </c>
      <c r="O103" s="22" t="str">
        <f aca="false">IF(OR(A103="",H103=""),"",IF(H103&lt;J103,"⚠ 低于标示",""))</f>
        <v/>
      </c>
      <c r="P103" s="19" t="n">
        <f aca="false">IF(OR(A103="",H103=""),0,G103*(H103-J103))</f>
        <v>0</v>
      </c>
      <c r="Q103" s="19" t="n">
        <f aca="false">IF(OR(A103="",H103=""),0,G103*J103)</f>
        <v>0</v>
      </c>
      <c r="R103" s="19" t="n">
        <f aca="false">IF(OR(A103="",H103=""),0,IF(H103&lt;J103,1,0))</f>
        <v>0</v>
      </c>
    </row>
    <row r="104" customFormat="false" ht="15" hidden="false" customHeight="false" outlineLevel="0" collapsed="false">
      <c r="A104" s="16"/>
      <c r="B104" s="17"/>
      <c r="C104" s="18"/>
      <c r="D104" s="17"/>
      <c r="E104" s="17"/>
      <c r="F104" s="17"/>
      <c r="G104" s="17"/>
      <c r="H104" s="17"/>
      <c r="I104" s="19" t="str">
        <f aca="false">IF(A104="","",D104*(E104-F104))</f>
        <v/>
      </c>
      <c r="J104" s="19" t="str">
        <f aca="false">IF(A104="","",IFERROR(INDEX(设定!$B$5:$B$14,MATCH(C104,设定!$A$5:$A$14,0)),0))</f>
        <v/>
      </c>
      <c r="K104" s="20" t="str">
        <f aca="false">IF(A104="","",G104*J104/1000)</f>
        <v/>
      </c>
      <c r="L104" s="20" t="str">
        <f aca="false">IF(A104="","",I104*IFERROR(INDEX(设定!$C$5:$C$14,MATCH(C104,设定!$A$5:$A$14,0)),0))</f>
        <v/>
      </c>
      <c r="M104" s="21" t="str">
        <f aca="false">IF(A104="","",IF(L104&gt;0,K104/L104,0))</f>
        <v/>
      </c>
      <c r="N104" s="21" t="str">
        <f aca="false">IF(OR(A104="",H104=""),"",IF(J104&gt;0,(H104-J104)/J104,0))</f>
        <v/>
      </c>
      <c r="O104" s="22" t="str">
        <f aca="false">IF(OR(A104="",H104=""),"",IF(H104&lt;J104,"⚠ 低于标示",""))</f>
        <v/>
      </c>
      <c r="P104" s="19" t="n">
        <f aca="false">IF(OR(A104="",H104=""),0,G104*(H104-J104))</f>
        <v>0</v>
      </c>
      <c r="Q104" s="19" t="n">
        <f aca="false">IF(OR(A104="",H104=""),0,G104*J104)</f>
        <v>0</v>
      </c>
      <c r="R104" s="19" t="n">
        <f aca="false">IF(OR(A104="",H104=""),0,IF(H104&lt;J104,1,0))</f>
        <v>0</v>
      </c>
    </row>
    <row r="105" customFormat="false" ht="15" hidden="false" customHeight="false" outlineLevel="0" collapsed="false">
      <c r="A105" s="16"/>
      <c r="B105" s="17"/>
      <c r="C105" s="18"/>
      <c r="D105" s="17"/>
      <c r="E105" s="17"/>
      <c r="F105" s="17"/>
      <c r="G105" s="17"/>
      <c r="H105" s="17"/>
      <c r="I105" s="19" t="str">
        <f aca="false">IF(A105="","",D105*(E105-F105))</f>
        <v/>
      </c>
      <c r="J105" s="19" t="str">
        <f aca="false">IF(A105="","",IFERROR(INDEX(设定!$B$5:$B$14,MATCH(C105,设定!$A$5:$A$14,0)),0))</f>
        <v/>
      </c>
      <c r="K105" s="20" t="str">
        <f aca="false">IF(A105="","",G105*J105/1000)</f>
        <v/>
      </c>
      <c r="L105" s="20" t="str">
        <f aca="false">IF(A105="","",I105*IFERROR(INDEX(设定!$C$5:$C$14,MATCH(C105,设定!$A$5:$A$14,0)),0))</f>
        <v/>
      </c>
      <c r="M105" s="21" t="str">
        <f aca="false">IF(A105="","",IF(L105&gt;0,K105/L105,0))</f>
        <v/>
      </c>
      <c r="N105" s="21" t="str">
        <f aca="false">IF(OR(A105="",H105=""),"",IF(J105&gt;0,(H105-J105)/J105,0))</f>
        <v/>
      </c>
      <c r="O105" s="22" t="str">
        <f aca="false">IF(OR(A105="",H105=""),"",IF(H105&lt;J105,"⚠ 低于标示",""))</f>
        <v/>
      </c>
      <c r="P105" s="19" t="n">
        <f aca="false">IF(OR(A105="",H105=""),0,G105*(H105-J105))</f>
        <v>0</v>
      </c>
      <c r="Q105" s="19" t="n">
        <f aca="false">IF(OR(A105="",H105=""),0,G105*J105)</f>
        <v>0</v>
      </c>
      <c r="R105" s="19" t="n">
        <f aca="false">IF(OR(A105="",H105=""),0,IF(H105&lt;J105,1,0))</f>
        <v>0</v>
      </c>
    </row>
    <row r="106" customFormat="false" ht="15" hidden="false" customHeight="false" outlineLevel="0" collapsed="false">
      <c r="A106" s="16"/>
      <c r="B106" s="17"/>
      <c r="C106" s="18"/>
      <c r="D106" s="17"/>
      <c r="E106" s="17"/>
      <c r="F106" s="17"/>
      <c r="G106" s="17"/>
      <c r="H106" s="17"/>
      <c r="I106" s="19" t="str">
        <f aca="false">IF(A106="","",D106*(E106-F106))</f>
        <v/>
      </c>
      <c r="J106" s="19" t="str">
        <f aca="false">IF(A106="","",IFERROR(INDEX(设定!$B$5:$B$14,MATCH(C106,设定!$A$5:$A$14,0)),0))</f>
        <v/>
      </c>
      <c r="K106" s="20" t="str">
        <f aca="false">IF(A106="","",G106*J106/1000)</f>
        <v/>
      </c>
      <c r="L106" s="20" t="str">
        <f aca="false">IF(A106="","",I106*IFERROR(INDEX(设定!$C$5:$C$14,MATCH(C106,设定!$A$5:$A$14,0)),0))</f>
        <v/>
      </c>
      <c r="M106" s="21" t="str">
        <f aca="false">IF(A106="","",IF(L106&gt;0,K106/L106,0))</f>
        <v/>
      </c>
      <c r="N106" s="21" t="str">
        <f aca="false">IF(OR(A106="",H106=""),"",IF(J106&gt;0,(H106-J106)/J106,0))</f>
        <v/>
      </c>
      <c r="O106" s="22" t="str">
        <f aca="false">IF(OR(A106="",H106=""),"",IF(H106&lt;J106,"⚠ 低于标示",""))</f>
        <v/>
      </c>
      <c r="P106" s="19" t="n">
        <f aca="false">IF(OR(A106="",H106=""),0,G106*(H106-J106))</f>
        <v>0</v>
      </c>
      <c r="Q106" s="19" t="n">
        <f aca="false">IF(OR(A106="",H106=""),0,G106*J106)</f>
        <v>0</v>
      </c>
      <c r="R106" s="19" t="n">
        <f aca="false">IF(OR(A106="",H106=""),0,IF(H106&lt;J106,1,0))</f>
        <v>0</v>
      </c>
    </row>
    <row r="107" customFormat="false" ht="15" hidden="false" customHeight="false" outlineLevel="0" collapsed="false">
      <c r="A107" s="16"/>
      <c r="B107" s="17"/>
      <c r="C107" s="18"/>
      <c r="D107" s="17"/>
      <c r="E107" s="17"/>
      <c r="F107" s="17"/>
      <c r="G107" s="17"/>
      <c r="H107" s="17"/>
      <c r="I107" s="19" t="str">
        <f aca="false">IF(A107="","",D107*(E107-F107))</f>
        <v/>
      </c>
      <c r="J107" s="19" t="str">
        <f aca="false">IF(A107="","",IFERROR(INDEX(设定!$B$5:$B$14,MATCH(C107,设定!$A$5:$A$14,0)),0))</f>
        <v/>
      </c>
      <c r="K107" s="20" t="str">
        <f aca="false">IF(A107="","",G107*J107/1000)</f>
        <v/>
      </c>
      <c r="L107" s="20" t="str">
        <f aca="false">IF(A107="","",I107*IFERROR(INDEX(设定!$C$5:$C$14,MATCH(C107,设定!$A$5:$A$14,0)),0))</f>
        <v/>
      </c>
      <c r="M107" s="21" t="str">
        <f aca="false">IF(A107="","",IF(L107&gt;0,K107/L107,0))</f>
        <v/>
      </c>
      <c r="N107" s="21" t="str">
        <f aca="false">IF(OR(A107="",H107=""),"",IF(J107&gt;0,(H107-J107)/J107,0))</f>
        <v/>
      </c>
      <c r="O107" s="22" t="str">
        <f aca="false">IF(OR(A107="",H107=""),"",IF(H107&lt;J107,"⚠ 低于标示",""))</f>
        <v/>
      </c>
      <c r="P107" s="19" t="n">
        <f aca="false">IF(OR(A107="",H107=""),0,G107*(H107-J107))</f>
        <v>0</v>
      </c>
      <c r="Q107" s="19" t="n">
        <f aca="false">IF(OR(A107="",H107=""),0,G107*J107)</f>
        <v>0</v>
      </c>
      <c r="R107" s="19" t="n">
        <f aca="false">IF(OR(A107="",H107=""),0,IF(H107&lt;J107,1,0))</f>
        <v>0</v>
      </c>
    </row>
    <row r="108" customFormat="false" ht="15" hidden="false" customHeight="false" outlineLevel="0" collapsed="false">
      <c r="A108" s="16"/>
      <c r="B108" s="17"/>
      <c r="C108" s="18"/>
      <c r="D108" s="17"/>
      <c r="E108" s="17"/>
      <c r="F108" s="17"/>
      <c r="G108" s="17"/>
      <c r="H108" s="17"/>
      <c r="I108" s="19" t="str">
        <f aca="false">IF(A108="","",D108*(E108-F108))</f>
        <v/>
      </c>
      <c r="J108" s="19" t="str">
        <f aca="false">IF(A108="","",IFERROR(INDEX(设定!$B$5:$B$14,MATCH(C108,设定!$A$5:$A$14,0)),0))</f>
        <v/>
      </c>
      <c r="K108" s="20" t="str">
        <f aca="false">IF(A108="","",G108*J108/1000)</f>
        <v/>
      </c>
      <c r="L108" s="20" t="str">
        <f aca="false">IF(A108="","",I108*IFERROR(INDEX(设定!$C$5:$C$14,MATCH(C108,设定!$A$5:$A$14,0)),0))</f>
        <v/>
      </c>
      <c r="M108" s="21" t="str">
        <f aca="false">IF(A108="","",IF(L108&gt;0,K108/L108,0))</f>
        <v/>
      </c>
      <c r="N108" s="21" t="str">
        <f aca="false">IF(OR(A108="",H108=""),"",IF(J108&gt;0,(H108-J108)/J108,0))</f>
        <v/>
      </c>
      <c r="O108" s="22" t="str">
        <f aca="false">IF(OR(A108="",H108=""),"",IF(H108&lt;J108,"⚠ 低于标示",""))</f>
        <v/>
      </c>
      <c r="P108" s="19" t="n">
        <f aca="false">IF(OR(A108="",H108=""),0,G108*(H108-J108))</f>
        <v>0</v>
      </c>
      <c r="Q108" s="19" t="n">
        <f aca="false">IF(OR(A108="",H108=""),0,G108*J108)</f>
        <v>0</v>
      </c>
      <c r="R108" s="19" t="n">
        <f aca="false">IF(OR(A108="",H108=""),0,IF(H108&lt;J108,1,0))</f>
        <v>0</v>
      </c>
    </row>
    <row r="109" customFormat="false" ht="15" hidden="false" customHeight="false" outlineLevel="0" collapsed="false">
      <c r="A109" s="16"/>
      <c r="B109" s="17"/>
      <c r="C109" s="18"/>
      <c r="D109" s="17"/>
      <c r="E109" s="17"/>
      <c r="F109" s="17"/>
      <c r="G109" s="17"/>
      <c r="H109" s="17"/>
      <c r="I109" s="19" t="str">
        <f aca="false">IF(A109="","",D109*(E109-F109))</f>
        <v/>
      </c>
      <c r="J109" s="19" t="str">
        <f aca="false">IF(A109="","",IFERROR(INDEX(设定!$B$5:$B$14,MATCH(C109,设定!$A$5:$A$14,0)),0))</f>
        <v/>
      </c>
      <c r="K109" s="20" t="str">
        <f aca="false">IF(A109="","",G109*J109/1000)</f>
        <v/>
      </c>
      <c r="L109" s="20" t="str">
        <f aca="false">IF(A109="","",I109*IFERROR(INDEX(设定!$C$5:$C$14,MATCH(C109,设定!$A$5:$A$14,0)),0))</f>
        <v/>
      </c>
      <c r="M109" s="21" t="str">
        <f aca="false">IF(A109="","",IF(L109&gt;0,K109/L109,0))</f>
        <v/>
      </c>
      <c r="N109" s="21" t="str">
        <f aca="false">IF(OR(A109="",H109=""),"",IF(J109&gt;0,(H109-J109)/J109,0))</f>
        <v/>
      </c>
      <c r="O109" s="22" t="str">
        <f aca="false">IF(OR(A109="",H109=""),"",IF(H109&lt;J109,"⚠ 低于标示",""))</f>
        <v/>
      </c>
      <c r="P109" s="19" t="n">
        <f aca="false">IF(OR(A109="",H109=""),0,G109*(H109-J109))</f>
        <v>0</v>
      </c>
      <c r="Q109" s="19" t="n">
        <f aca="false">IF(OR(A109="",H109=""),0,G109*J109)</f>
        <v>0</v>
      </c>
      <c r="R109" s="19" t="n">
        <f aca="false">IF(OR(A109="",H109=""),0,IF(H109&lt;J109,1,0))</f>
        <v>0</v>
      </c>
    </row>
    <row r="110" customFormat="false" ht="15" hidden="false" customHeight="false" outlineLevel="0" collapsed="false">
      <c r="A110" s="16"/>
      <c r="B110" s="17"/>
      <c r="C110" s="18"/>
      <c r="D110" s="17"/>
      <c r="E110" s="17"/>
      <c r="F110" s="17"/>
      <c r="G110" s="17"/>
      <c r="H110" s="17"/>
      <c r="I110" s="19" t="str">
        <f aca="false">IF(A110="","",D110*(E110-F110))</f>
        <v/>
      </c>
      <c r="J110" s="19" t="str">
        <f aca="false">IF(A110="","",IFERROR(INDEX(设定!$B$5:$B$14,MATCH(C110,设定!$A$5:$A$14,0)),0))</f>
        <v/>
      </c>
      <c r="K110" s="20" t="str">
        <f aca="false">IF(A110="","",G110*J110/1000)</f>
        <v/>
      </c>
      <c r="L110" s="20" t="str">
        <f aca="false">IF(A110="","",I110*IFERROR(INDEX(设定!$C$5:$C$14,MATCH(C110,设定!$A$5:$A$14,0)),0))</f>
        <v/>
      </c>
      <c r="M110" s="21" t="str">
        <f aca="false">IF(A110="","",IF(L110&gt;0,K110/L110,0))</f>
        <v/>
      </c>
      <c r="N110" s="21" t="str">
        <f aca="false">IF(OR(A110="",H110=""),"",IF(J110&gt;0,(H110-J110)/J110,0))</f>
        <v/>
      </c>
      <c r="O110" s="22" t="str">
        <f aca="false">IF(OR(A110="",H110=""),"",IF(H110&lt;J110,"⚠ 低于标示",""))</f>
        <v/>
      </c>
      <c r="P110" s="19" t="n">
        <f aca="false">IF(OR(A110="",H110=""),0,G110*(H110-J110))</f>
        <v>0</v>
      </c>
      <c r="Q110" s="19" t="n">
        <f aca="false">IF(OR(A110="",H110=""),0,G110*J110)</f>
        <v>0</v>
      </c>
      <c r="R110" s="19" t="n">
        <f aca="false">IF(OR(A110="",H110=""),0,IF(H110&lt;J110,1,0))</f>
        <v>0</v>
      </c>
    </row>
    <row r="111" customFormat="false" ht="15" hidden="false" customHeight="false" outlineLevel="0" collapsed="false">
      <c r="A111" s="16"/>
      <c r="B111" s="17"/>
      <c r="C111" s="18"/>
      <c r="D111" s="17"/>
      <c r="E111" s="17"/>
      <c r="F111" s="17"/>
      <c r="G111" s="17"/>
      <c r="H111" s="17"/>
      <c r="I111" s="19" t="str">
        <f aca="false">IF(A111="","",D111*(E111-F111))</f>
        <v/>
      </c>
      <c r="J111" s="19" t="str">
        <f aca="false">IF(A111="","",IFERROR(INDEX(设定!$B$5:$B$14,MATCH(C111,设定!$A$5:$A$14,0)),0))</f>
        <v/>
      </c>
      <c r="K111" s="20" t="str">
        <f aca="false">IF(A111="","",G111*J111/1000)</f>
        <v/>
      </c>
      <c r="L111" s="20" t="str">
        <f aca="false">IF(A111="","",I111*IFERROR(INDEX(设定!$C$5:$C$14,MATCH(C111,设定!$A$5:$A$14,0)),0))</f>
        <v/>
      </c>
      <c r="M111" s="21" t="str">
        <f aca="false">IF(A111="","",IF(L111&gt;0,K111/L111,0))</f>
        <v/>
      </c>
      <c r="N111" s="21" t="str">
        <f aca="false">IF(OR(A111="",H111=""),"",IF(J111&gt;0,(H111-J111)/J111,0))</f>
        <v/>
      </c>
      <c r="O111" s="22" t="str">
        <f aca="false">IF(OR(A111="",H111=""),"",IF(H111&lt;J111,"⚠ 低于标示",""))</f>
        <v/>
      </c>
      <c r="P111" s="19" t="n">
        <f aca="false">IF(OR(A111="",H111=""),0,G111*(H111-J111))</f>
        <v>0</v>
      </c>
      <c r="Q111" s="19" t="n">
        <f aca="false">IF(OR(A111="",H111=""),0,G111*J111)</f>
        <v>0</v>
      </c>
      <c r="R111" s="19" t="n">
        <f aca="false">IF(OR(A111="",H111=""),0,IF(H111&lt;J111,1,0))</f>
        <v>0</v>
      </c>
    </row>
    <row r="112" customFormat="false" ht="15" hidden="false" customHeight="false" outlineLevel="0" collapsed="false">
      <c r="A112" s="16"/>
      <c r="B112" s="17"/>
      <c r="C112" s="18"/>
      <c r="D112" s="17"/>
      <c r="E112" s="17"/>
      <c r="F112" s="17"/>
      <c r="G112" s="17"/>
      <c r="H112" s="17"/>
      <c r="I112" s="19" t="str">
        <f aca="false">IF(A112="","",D112*(E112-F112))</f>
        <v/>
      </c>
      <c r="J112" s="19" t="str">
        <f aca="false">IF(A112="","",IFERROR(INDEX(设定!$B$5:$B$14,MATCH(C112,设定!$A$5:$A$14,0)),0))</f>
        <v/>
      </c>
      <c r="K112" s="20" t="str">
        <f aca="false">IF(A112="","",G112*J112/1000)</f>
        <v/>
      </c>
      <c r="L112" s="20" t="str">
        <f aca="false">IF(A112="","",I112*IFERROR(INDEX(设定!$C$5:$C$14,MATCH(C112,设定!$A$5:$A$14,0)),0))</f>
        <v/>
      </c>
      <c r="M112" s="21" t="str">
        <f aca="false">IF(A112="","",IF(L112&gt;0,K112/L112,0))</f>
        <v/>
      </c>
      <c r="N112" s="21" t="str">
        <f aca="false">IF(OR(A112="",H112=""),"",IF(J112&gt;0,(H112-J112)/J112,0))</f>
        <v/>
      </c>
      <c r="O112" s="22" t="str">
        <f aca="false">IF(OR(A112="",H112=""),"",IF(H112&lt;J112,"⚠ 低于标示",""))</f>
        <v/>
      </c>
      <c r="P112" s="19" t="n">
        <f aca="false">IF(OR(A112="",H112=""),0,G112*(H112-J112))</f>
        <v>0</v>
      </c>
      <c r="Q112" s="19" t="n">
        <f aca="false">IF(OR(A112="",H112=""),0,G112*J112)</f>
        <v>0</v>
      </c>
      <c r="R112" s="19" t="n">
        <f aca="false">IF(OR(A112="",H112=""),0,IF(H112&lt;J112,1,0))</f>
        <v>0</v>
      </c>
    </row>
    <row r="113" customFormat="false" ht="15" hidden="false" customHeight="false" outlineLevel="0" collapsed="false">
      <c r="A113" s="16"/>
      <c r="B113" s="17"/>
      <c r="C113" s="18"/>
      <c r="D113" s="17"/>
      <c r="E113" s="17"/>
      <c r="F113" s="17"/>
      <c r="G113" s="17"/>
      <c r="H113" s="17"/>
      <c r="I113" s="19" t="str">
        <f aca="false">IF(A113="","",D113*(E113-F113))</f>
        <v/>
      </c>
      <c r="J113" s="19" t="str">
        <f aca="false">IF(A113="","",IFERROR(INDEX(设定!$B$5:$B$14,MATCH(C113,设定!$A$5:$A$14,0)),0))</f>
        <v/>
      </c>
      <c r="K113" s="20" t="str">
        <f aca="false">IF(A113="","",G113*J113/1000)</f>
        <v/>
      </c>
      <c r="L113" s="20" t="str">
        <f aca="false">IF(A113="","",I113*IFERROR(INDEX(设定!$C$5:$C$14,MATCH(C113,设定!$A$5:$A$14,0)),0))</f>
        <v/>
      </c>
      <c r="M113" s="21" t="str">
        <f aca="false">IF(A113="","",IF(L113&gt;0,K113/L113,0))</f>
        <v/>
      </c>
      <c r="N113" s="21" t="str">
        <f aca="false">IF(OR(A113="",H113=""),"",IF(J113&gt;0,(H113-J113)/J113,0))</f>
        <v/>
      </c>
      <c r="O113" s="22" t="str">
        <f aca="false">IF(OR(A113="",H113=""),"",IF(H113&lt;J113,"⚠ 低于标示",""))</f>
        <v/>
      </c>
      <c r="P113" s="19" t="n">
        <f aca="false">IF(OR(A113="",H113=""),0,G113*(H113-J113))</f>
        <v>0</v>
      </c>
      <c r="Q113" s="19" t="n">
        <f aca="false">IF(OR(A113="",H113=""),0,G113*J113)</f>
        <v>0</v>
      </c>
      <c r="R113" s="19" t="n">
        <f aca="false">IF(OR(A113="",H113=""),0,IF(H113&lt;J113,1,0))</f>
        <v>0</v>
      </c>
    </row>
    <row r="114" customFormat="false" ht="15" hidden="false" customHeight="false" outlineLevel="0" collapsed="false">
      <c r="A114" s="16"/>
      <c r="B114" s="17"/>
      <c r="C114" s="18"/>
      <c r="D114" s="17"/>
      <c r="E114" s="17"/>
      <c r="F114" s="17"/>
      <c r="G114" s="17"/>
      <c r="H114" s="17"/>
      <c r="I114" s="19" t="str">
        <f aca="false">IF(A114="","",D114*(E114-F114))</f>
        <v/>
      </c>
      <c r="J114" s="19" t="str">
        <f aca="false">IF(A114="","",IFERROR(INDEX(设定!$B$5:$B$14,MATCH(C114,设定!$A$5:$A$14,0)),0))</f>
        <v/>
      </c>
      <c r="K114" s="20" t="str">
        <f aca="false">IF(A114="","",G114*J114/1000)</f>
        <v/>
      </c>
      <c r="L114" s="20" t="str">
        <f aca="false">IF(A114="","",I114*IFERROR(INDEX(设定!$C$5:$C$14,MATCH(C114,设定!$A$5:$A$14,0)),0))</f>
        <v/>
      </c>
      <c r="M114" s="21" t="str">
        <f aca="false">IF(A114="","",IF(L114&gt;0,K114/L114,0))</f>
        <v/>
      </c>
      <c r="N114" s="21" t="str">
        <f aca="false">IF(OR(A114="",H114=""),"",IF(J114&gt;0,(H114-J114)/J114,0))</f>
        <v/>
      </c>
      <c r="O114" s="22" t="str">
        <f aca="false">IF(OR(A114="",H114=""),"",IF(H114&lt;J114,"⚠ 低于标示",""))</f>
        <v/>
      </c>
      <c r="P114" s="19" t="n">
        <f aca="false">IF(OR(A114="",H114=""),0,G114*(H114-J114))</f>
        <v>0</v>
      </c>
      <c r="Q114" s="19" t="n">
        <f aca="false">IF(OR(A114="",H114=""),0,G114*J114)</f>
        <v>0</v>
      </c>
      <c r="R114" s="19" t="n">
        <f aca="false">IF(OR(A114="",H114=""),0,IF(H114&lt;J114,1,0))</f>
        <v>0</v>
      </c>
    </row>
    <row r="115" customFormat="false" ht="15" hidden="false" customHeight="false" outlineLevel="0" collapsed="false">
      <c r="A115" s="16"/>
      <c r="B115" s="17"/>
      <c r="C115" s="18"/>
      <c r="D115" s="17"/>
      <c r="E115" s="17"/>
      <c r="F115" s="17"/>
      <c r="G115" s="17"/>
      <c r="H115" s="17"/>
      <c r="I115" s="19" t="str">
        <f aca="false">IF(A115="","",D115*(E115-F115))</f>
        <v/>
      </c>
      <c r="J115" s="19" t="str">
        <f aca="false">IF(A115="","",IFERROR(INDEX(设定!$B$5:$B$14,MATCH(C115,设定!$A$5:$A$14,0)),0))</f>
        <v/>
      </c>
      <c r="K115" s="20" t="str">
        <f aca="false">IF(A115="","",G115*J115/1000)</f>
        <v/>
      </c>
      <c r="L115" s="20" t="str">
        <f aca="false">IF(A115="","",I115*IFERROR(INDEX(设定!$C$5:$C$14,MATCH(C115,设定!$A$5:$A$14,0)),0))</f>
        <v/>
      </c>
      <c r="M115" s="21" t="str">
        <f aca="false">IF(A115="","",IF(L115&gt;0,K115/L115,0))</f>
        <v/>
      </c>
      <c r="N115" s="21" t="str">
        <f aca="false">IF(OR(A115="",H115=""),"",IF(J115&gt;0,(H115-J115)/J115,0))</f>
        <v/>
      </c>
      <c r="O115" s="22" t="str">
        <f aca="false">IF(OR(A115="",H115=""),"",IF(H115&lt;J115,"⚠ 低于标示",""))</f>
        <v/>
      </c>
      <c r="P115" s="19" t="n">
        <f aca="false">IF(OR(A115="",H115=""),0,G115*(H115-J115))</f>
        <v>0</v>
      </c>
      <c r="Q115" s="19" t="n">
        <f aca="false">IF(OR(A115="",H115=""),0,G115*J115)</f>
        <v>0</v>
      </c>
      <c r="R115" s="19" t="n">
        <f aca="false">IF(OR(A115="",H115=""),0,IF(H115&lt;J115,1,0))</f>
        <v>0</v>
      </c>
    </row>
    <row r="116" customFormat="false" ht="15" hidden="false" customHeight="false" outlineLevel="0" collapsed="false">
      <c r="A116" s="16"/>
      <c r="B116" s="17"/>
      <c r="C116" s="18"/>
      <c r="D116" s="17"/>
      <c r="E116" s="17"/>
      <c r="F116" s="17"/>
      <c r="G116" s="17"/>
      <c r="H116" s="17"/>
      <c r="I116" s="19" t="str">
        <f aca="false">IF(A116="","",D116*(E116-F116))</f>
        <v/>
      </c>
      <c r="J116" s="19" t="str">
        <f aca="false">IF(A116="","",IFERROR(INDEX(设定!$B$5:$B$14,MATCH(C116,设定!$A$5:$A$14,0)),0))</f>
        <v/>
      </c>
      <c r="K116" s="20" t="str">
        <f aca="false">IF(A116="","",G116*J116/1000)</f>
        <v/>
      </c>
      <c r="L116" s="20" t="str">
        <f aca="false">IF(A116="","",I116*IFERROR(INDEX(设定!$C$5:$C$14,MATCH(C116,设定!$A$5:$A$14,0)),0))</f>
        <v/>
      </c>
      <c r="M116" s="21" t="str">
        <f aca="false">IF(A116="","",IF(L116&gt;0,K116/L116,0))</f>
        <v/>
      </c>
      <c r="N116" s="21" t="str">
        <f aca="false">IF(OR(A116="",H116=""),"",IF(J116&gt;0,(H116-J116)/J116,0))</f>
        <v/>
      </c>
      <c r="O116" s="22" t="str">
        <f aca="false">IF(OR(A116="",H116=""),"",IF(H116&lt;J116,"⚠ 低于标示",""))</f>
        <v/>
      </c>
      <c r="P116" s="19" t="n">
        <f aca="false">IF(OR(A116="",H116=""),0,G116*(H116-J116))</f>
        <v>0</v>
      </c>
      <c r="Q116" s="19" t="n">
        <f aca="false">IF(OR(A116="",H116=""),0,G116*J116)</f>
        <v>0</v>
      </c>
      <c r="R116" s="19" t="n">
        <f aca="false">IF(OR(A116="",H116=""),0,IF(H116&lt;J116,1,0))</f>
        <v>0</v>
      </c>
    </row>
    <row r="117" customFormat="false" ht="15" hidden="false" customHeight="false" outlineLevel="0" collapsed="false">
      <c r="A117" s="16"/>
      <c r="B117" s="17"/>
      <c r="C117" s="18"/>
      <c r="D117" s="17"/>
      <c r="E117" s="17"/>
      <c r="F117" s="17"/>
      <c r="G117" s="17"/>
      <c r="H117" s="17"/>
      <c r="I117" s="19" t="str">
        <f aca="false">IF(A117="","",D117*(E117-F117))</f>
        <v/>
      </c>
      <c r="J117" s="19" t="str">
        <f aca="false">IF(A117="","",IFERROR(INDEX(设定!$B$5:$B$14,MATCH(C117,设定!$A$5:$A$14,0)),0))</f>
        <v/>
      </c>
      <c r="K117" s="20" t="str">
        <f aca="false">IF(A117="","",G117*J117/1000)</f>
        <v/>
      </c>
      <c r="L117" s="20" t="str">
        <f aca="false">IF(A117="","",I117*IFERROR(INDEX(设定!$C$5:$C$14,MATCH(C117,设定!$A$5:$A$14,0)),0))</f>
        <v/>
      </c>
      <c r="M117" s="21" t="str">
        <f aca="false">IF(A117="","",IF(L117&gt;0,K117/L117,0))</f>
        <v/>
      </c>
      <c r="N117" s="21" t="str">
        <f aca="false">IF(OR(A117="",H117=""),"",IF(J117&gt;0,(H117-J117)/J117,0))</f>
        <v/>
      </c>
      <c r="O117" s="22" t="str">
        <f aca="false">IF(OR(A117="",H117=""),"",IF(H117&lt;J117,"⚠ 低于标示",""))</f>
        <v/>
      </c>
      <c r="P117" s="19" t="n">
        <f aca="false">IF(OR(A117="",H117=""),0,G117*(H117-J117))</f>
        <v>0</v>
      </c>
      <c r="Q117" s="19" t="n">
        <f aca="false">IF(OR(A117="",H117=""),0,G117*J117)</f>
        <v>0</v>
      </c>
      <c r="R117" s="19" t="n">
        <f aca="false">IF(OR(A117="",H117=""),0,IF(H117&lt;J117,1,0))</f>
        <v>0</v>
      </c>
    </row>
    <row r="118" customFormat="false" ht="15" hidden="false" customHeight="false" outlineLevel="0" collapsed="false">
      <c r="A118" s="16"/>
      <c r="B118" s="17"/>
      <c r="C118" s="18"/>
      <c r="D118" s="17"/>
      <c r="E118" s="17"/>
      <c r="F118" s="17"/>
      <c r="G118" s="17"/>
      <c r="H118" s="17"/>
      <c r="I118" s="19" t="str">
        <f aca="false">IF(A118="","",D118*(E118-F118))</f>
        <v/>
      </c>
      <c r="J118" s="19" t="str">
        <f aca="false">IF(A118="","",IFERROR(INDEX(设定!$B$5:$B$14,MATCH(C118,设定!$A$5:$A$14,0)),0))</f>
        <v/>
      </c>
      <c r="K118" s="20" t="str">
        <f aca="false">IF(A118="","",G118*J118/1000)</f>
        <v/>
      </c>
      <c r="L118" s="20" t="str">
        <f aca="false">IF(A118="","",I118*IFERROR(INDEX(设定!$C$5:$C$14,MATCH(C118,设定!$A$5:$A$14,0)),0))</f>
        <v/>
      </c>
      <c r="M118" s="21" t="str">
        <f aca="false">IF(A118="","",IF(L118&gt;0,K118/L118,0))</f>
        <v/>
      </c>
      <c r="N118" s="21" t="str">
        <f aca="false">IF(OR(A118="",H118=""),"",IF(J118&gt;0,(H118-J118)/J118,0))</f>
        <v/>
      </c>
      <c r="O118" s="22" t="str">
        <f aca="false">IF(OR(A118="",H118=""),"",IF(H118&lt;J118,"⚠ 低于标示",""))</f>
        <v/>
      </c>
      <c r="P118" s="19" t="n">
        <f aca="false">IF(OR(A118="",H118=""),0,G118*(H118-J118))</f>
        <v>0</v>
      </c>
      <c r="Q118" s="19" t="n">
        <f aca="false">IF(OR(A118="",H118=""),0,G118*J118)</f>
        <v>0</v>
      </c>
      <c r="R118" s="19" t="n">
        <f aca="false">IF(OR(A118="",H118=""),0,IF(H118&lt;J118,1,0))</f>
        <v>0</v>
      </c>
    </row>
    <row r="119" customFormat="false" ht="15" hidden="false" customHeight="false" outlineLevel="0" collapsed="false">
      <c r="A119" s="16"/>
      <c r="B119" s="17"/>
      <c r="C119" s="18"/>
      <c r="D119" s="17"/>
      <c r="E119" s="17"/>
      <c r="F119" s="17"/>
      <c r="G119" s="17"/>
      <c r="H119" s="17"/>
      <c r="I119" s="19" t="str">
        <f aca="false">IF(A119="","",D119*(E119-F119))</f>
        <v/>
      </c>
      <c r="J119" s="19" t="str">
        <f aca="false">IF(A119="","",IFERROR(INDEX(设定!$B$5:$B$14,MATCH(C119,设定!$A$5:$A$14,0)),0))</f>
        <v/>
      </c>
      <c r="K119" s="20" t="str">
        <f aca="false">IF(A119="","",G119*J119/1000)</f>
        <v/>
      </c>
      <c r="L119" s="20" t="str">
        <f aca="false">IF(A119="","",I119*IFERROR(INDEX(设定!$C$5:$C$14,MATCH(C119,设定!$A$5:$A$14,0)),0))</f>
        <v/>
      </c>
      <c r="M119" s="21" t="str">
        <f aca="false">IF(A119="","",IF(L119&gt;0,K119/L119,0))</f>
        <v/>
      </c>
      <c r="N119" s="21" t="str">
        <f aca="false">IF(OR(A119="",H119=""),"",IF(J119&gt;0,(H119-J119)/J119,0))</f>
        <v/>
      </c>
      <c r="O119" s="22" t="str">
        <f aca="false">IF(OR(A119="",H119=""),"",IF(H119&lt;J119,"⚠ 低于标示",""))</f>
        <v/>
      </c>
      <c r="P119" s="19" t="n">
        <f aca="false">IF(OR(A119="",H119=""),0,G119*(H119-J119))</f>
        <v>0</v>
      </c>
      <c r="Q119" s="19" t="n">
        <f aca="false">IF(OR(A119="",H119=""),0,G119*J119)</f>
        <v>0</v>
      </c>
      <c r="R119" s="19" t="n">
        <f aca="false">IF(OR(A119="",H119=""),0,IF(H119&lt;J119,1,0))</f>
        <v>0</v>
      </c>
    </row>
    <row r="120" customFormat="false" ht="15" hidden="false" customHeight="false" outlineLevel="0" collapsed="false">
      <c r="A120" s="16"/>
      <c r="B120" s="17"/>
      <c r="C120" s="18"/>
      <c r="D120" s="17"/>
      <c r="E120" s="17"/>
      <c r="F120" s="17"/>
      <c r="G120" s="17"/>
      <c r="H120" s="17"/>
      <c r="I120" s="19" t="str">
        <f aca="false">IF(A120="","",D120*(E120-F120))</f>
        <v/>
      </c>
      <c r="J120" s="19" t="str">
        <f aca="false">IF(A120="","",IFERROR(INDEX(设定!$B$5:$B$14,MATCH(C120,设定!$A$5:$A$14,0)),0))</f>
        <v/>
      </c>
      <c r="K120" s="20" t="str">
        <f aca="false">IF(A120="","",G120*J120/1000)</f>
        <v/>
      </c>
      <c r="L120" s="20" t="str">
        <f aca="false">IF(A120="","",I120*IFERROR(INDEX(设定!$C$5:$C$14,MATCH(C120,设定!$A$5:$A$14,0)),0))</f>
        <v/>
      </c>
      <c r="M120" s="21" t="str">
        <f aca="false">IF(A120="","",IF(L120&gt;0,K120/L120,0))</f>
        <v/>
      </c>
      <c r="N120" s="21" t="str">
        <f aca="false">IF(OR(A120="",H120=""),"",IF(J120&gt;0,(H120-J120)/J120,0))</f>
        <v/>
      </c>
      <c r="O120" s="22" t="str">
        <f aca="false">IF(OR(A120="",H120=""),"",IF(H120&lt;J120,"⚠ 低于标示",""))</f>
        <v/>
      </c>
      <c r="P120" s="19" t="n">
        <f aca="false">IF(OR(A120="",H120=""),0,G120*(H120-J120))</f>
        <v>0</v>
      </c>
      <c r="Q120" s="19" t="n">
        <f aca="false">IF(OR(A120="",H120=""),0,G120*J120)</f>
        <v>0</v>
      </c>
      <c r="R120" s="19" t="n">
        <f aca="false">IF(OR(A120="",H120=""),0,IF(H120&lt;J120,1,0))</f>
        <v>0</v>
      </c>
    </row>
    <row r="121" customFormat="false" ht="15" hidden="false" customHeight="false" outlineLevel="0" collapsed="false">
      <c r="A121" s="16"/>
      <c r="B121" s="17"/>
      <c r="C121" s="18"/>
      <c r="D121" s="17"/>
      <c r="E121" s="17"/>
      <c r="F121" s="17"/>
      <c r="G121" s="17"/>
      <c r="H121" s="17"/>
      <c r="I121" s="19" t="str">
        <f aca="false">IF(A121="","",D121*(E121-F121))</f>
        <v/>
      </c>
      <c r="J121" s="19" t="str">
        <f aca="false">IF(A121="","",IFERROR(INDEX(设定!$B$5:$B$14,MATCH(C121,设定!$A$5:$A$14,0)),0))</f>
        <v/>
      </c>
      <c r="K121" s="20" t="str">
        <f aca="false">IF(A121="","",G121*J121/1000)</f>
        <v/>
      </c>
      <c r="L121" s="20" t="str">
        <f aca="false">IF(A121="","",I121*IFERROR(INDEX(设定!$C$5:$C$14,MATCH(C121,设定!$A$5:$A$14,0)),0))</f>
        <v/>
      </c>
      <c r="M121" s="21" t="str">
        <f aca="false">IF(A121="","",IF(L121&gt;0,K121/L121,0))</f>
        <v/>
      </c>
      <c r="N121" s="21" t="str">
        <f aca="false">IF(OR(A121="",H121=""),"",IF(J121&gt;0,(H121-J121)/J121,0))</f>
        <v/>
      </c>
      <c r="O121" s="22" t="str">
        <f aca="false">IF(OR(A121="",H121=""),"",IF(H121&lt;J121,"⚠ 低于标示",""))</f>
        <v/>
      </c>
      <c r="P121" s="19" t="n">
        <f aca="false">IF(OR(A121="",H121=""),0,G121*(H121-J121))</f>
        <v>0</v>
      </c>
      <c r="Q121" s="19" t="n">
        <f aca="false">IF(OR(A121="",H121=""),0,G121*J121)</f>
        <v>0</v>
      </c>
      <c r="R121" s="19" t="n">
        <f aca="false">IF(OR(A121="",H121=""),0,IF(H121&lt;J121,1,0))</f>
        <v>0</v>
      </c>
    </row>
    <row r="122" customFormat="false" ht="15" hidden="false" customHeight="false" outlineLevel="0" collapsed="false">
      <c r="A122" s="16"/>
      <c r="B122" s="17"/>
      <c r="C122" s="18"/>
      <c r="D122" s="17"/>
      <c r="E122" s="17"/>
      <c r="F122" s="17"/>
      <c r="G122" s="17"/>
      <c r="H122" s="17"/>
      <c r="I122" s="19" t="str">
        <f aca="false">IF(A122="","",D122*(E122-F122))</f>
        <v/>
      </c>
      <c r="J122" s="19" t="str">
        <f aca="false">IF(A122="","",IFERROR(INDEX(设定!$B$5:$B$14,MATCH(C122,设定!$A$5:$A$14,0)),0))</f>
        <v/>
      </c>
      <c r="K122" s="20" t="str">
        <f aca="false">IF(A122="","",G122*J122/1000)</f>
        <v/>
      </c>
      <c r="L122" s="20" t="str">
        <f aca="false">IF(A122="","",I122*IFERROR(INDEX(设定!$C$5:$C$14,MATCH(C122,设定!$A$5:$A$14,0)),0))</f>
        <v/>
      </c>
      <c r="M122" s="21" t="str">
        <f aca="false">IF(A122="","",IF(L122&gt;0,K122/L122,0))</f>
        <v/>
      </c>
      <c r="N122" s="21" t="str">
        <f aca="false">IF(OR(A122="",H122=""),"",IF(J122&gt;0,(H122-J122)/J122,0))</f>
        <v/>
      </c>
      <c r="O122" s="22" t="str">
        <f aca="false">IF(OR(A122="",H122=""),"",IF(H122&lt;J122,"⚠ 低于标示",""))</f>
        <v/>
      </c>
      <c r="P122" s="19" t="n">
        <f aca="false">IF(OR(A122="",H122=""),0,G122*(H122-J122))</f>
        <v>0</v>
      </c>
      <c r="Q122" s="19" t="n">
        <f aca="false">IF(OR(A122="",H122=""),0,G122*J122)</f>
        <v>0</v>
      </c>
      <c r="R122" s="19" t="n">
        <f aca="false">IF(OR(A122="",H122=""),0,IF(H122&lt;J122,1,0))</f>
        <v>0</v>
      </c>
    </row>
    <row r="123" customFormat="false" ht="15" hidden="false" customHeight="false" outlineLevel="0" collapsed="false">
      <c r="A123" s="16"/>
      <c r="B123" s="17"/>
      <c r="C123" s="18"/>
      <c r="D123" s="17"/>
      <c r="E123" s="17"/>
      <c r="F123" s="17"/>
      <c r="G123" s="17"/>
      <c r="H123" s="17"/>
      <c r="I123" s="19" t="str">
        <f aca="false">IF(A123="","",D123*(E123-F123))</f>
        <v/>
      </c>
      <c r="J123" s="19" t="str">
        <f aca="false">IF(A123="","",IFERROR(INDEX(设定!$B$5:$B$14,MATCH(C123,设定!$A$5:$A$14,0)),0))</f>
        <v/>
      </c>
      <c r="K123" s="20" t="str">
        <f aca="false">IF(A123="","",G123*J123/1000)</f>
        <v/>
      </c>
      <c r="L123" s="20" t="str">
        <f aca="false">IF(A123="","",I123*IFERROR(INDEX(设定!$C$5:$C$14,MATCH(C123,设定!$A$5:$A$14,0)),0))</f>
        <v/>
      </c>
      <c r="M123" s="21" t="str">
        <f aca="false">IF(A123="","",IF(L123&gt;0,K123/L123,0))</f>
        <v/>
      </c>
      <c r="N123" s="21" t="str">
        <f aca="false">IF(OR(A123="",H123=""),"",IF(J123&gt;0,(H123-J123)/J123,0))</f>
        <v/>
      </c>
      <c r="O123" s="22" t="str">
        <f aca="false">IF(OR(A123="",H123=""),"",IF(H123&lt;J123,"⚠ 低于标示",""))</f>
        <v/>
      </c>
      <c r="P123" s="19" t="n">
        <f aca="false">IF(OR(A123="",H123=""),0,G123*(H123-J123))</f>
        <v>0</v>
      </c>
      <c r="Q123" s="19" t="n">
        <f aca="false">IF(OR(A123="",H123=""),0,G123*J123)</f>
        <v>0</v>
      </c>
      <c r="R123" s="19" t="n">
        <f aca="false">IF(OR(A123="",H123=""),0,IF(H123&lt;J123,1,0))</f>
        <v>0</v>
      </c>
    </row>
    <row r="124" customFormat="false" ht="15" hidden="false" customHeight="false" outlineLevel="0" collapsed="false">
      <c r="A124" s="16"/>
      <c r="B124" s="17"/>
      <c r="C124" s="18"/>
      <c r="D124" s="17"/>
      <c r="E124" s="17"/>
      <c r="F124" s="17"/>
      <c r="G124" s="17"/>
      <c r="H124" s="17"/>
      <c r="I124" s="19" t="str">
        <f aca="false">IF(A124="","",D124*(E124-F124))</f>
        <v/>
      </c>
      <c r="J124" s="19" t="str">
        <f aca="false">IF(A124="","",IFERROR(INDEX(设定!$B$5:$B$14,MATCH(C124,设定!$A$5:$A$14,0)),0))</f>
        <v/>
      </c>
      <c r="K124" s="20" t="str">
        <f aca="false">IF(A124="","",G124*J124/1000)</f>
        <v/>
      </c>
      <c r="L124" s="20" t="str">
        <f aca="false">IF(A124="","",I124*IFERROR(INDEX(设定!$C$5:$C$14,MATCH(C124,设定!$A$5:$A$14,0)),0))</f>
        <v/>
      </c>
      <c r="M124" s="21" t="str">
        <f aca="false">IF(A124="","",IF(L124&gt;0,K124/L124,0))</f>
        <v/>
      </c>
      <c r="N124" s="21" t="str">
        <f aca="false">IF(OR(A124="",H124=""),"",IF(J124&gt;0,(H124-J124)/J124,0))</f>
        <v/>
      </c>
      <c r="O124" s="22" t="str">
        <f aca="false">IF(OR(A124="",H124=""),"",IF(H124&lt;J124,"⚠ 低于标示",""))</f>
        <v/>
      </c>
      <c r="P124" s="19" t="n">
        <f aca="false">IF(OR(A124="",H124=""),0,G124*(H124-J124))</f>
        <v>0</v>
      </c>
      <c r="Q124" s="19" t="n">
        <f aca="false">IF(OR(A124="",H124=""),0,G124*J124)</f>
        <v>0</v>
      </c>
      <c r="R124" s="19" t="n">
        <f aca="false">IF(OR(A124="",H124=""),0,IF(H124&lt;J124,1,0))</f>
        <v>0</v>
      </c>
    </row>
    <row r="125" customFormat="false" ht="15" hidden="false" customHeight="false" outlineLevel="0" collapsed="false">
      <c r="A125" s="16"/>
      <c r="B125" s="17"/>
      <c r="C125" s="18"/>
      <c r="D125" s="17"/>
      <c r="E125" s="17"/>
      <c r="F125" s="17"/>
      <c r="G125" s="17"/>
      <c r="H125" s="17"/>
      <c r="I125" s="19" t="str">
        <f aca="false">IF(A125="","",D125*(E125-F125))</f>
        <v/>
      </c>
      <c r="J125" s="19" t="str">
        <f aca="false">IF(A125="","",IFERROR(INDEX(设定!$B$5:$B$14,MATCH(C125,设定!$A$5:$A$14,0)),0))</f>
        <v/>
      </c>
      <c r="K125" s="20" t="str">
        <f aca="false">IF(A125="","",G125*J125/1000)</f>
        <v/>
      </c>
      <c r="L125" s="20" t="str">
        <f aca="false">IF(A125="","",I125*IFERROR(INDEX(设定!$C$5:$C$14,MATCH(C125,设定!$A$5:$A$14,0)),0))</f>
        <v/>
      </c>
      <c r="M125" s="21" t="str">
        <f aca="false">IF(A125="","",IF(L125&gt;0,K125/L125,0))</f>
        <v/>
      </c>
      <c r="N125" s="21" t="str">
        <f aca="false">IF(OR(A125="",H125=""),"",IF(J125&gt;0,(H125-J125)/J125,0))</f>
        <v/>
      </c>
      <c r="O125" s="22" t="str">
        <f aca="false">IF(OR(A125="",H125=""),"",IF(H125&lt;J125,"⚠ 低于标示",""))</f>
        <v/>
      </c>
      <c r="P125" s="19" t="n">
        <f aca="false">IF(OR(A125="",H125=""),0,G125*(H125-J125))</f>
        <v>0</v>
      </c>
      <c r="Q125" s="19" t="n">
        <f aca="false">IF(OR(A125="",H125=""),0,G125*J125)</f>
        <v>0</v>
      </c>
      <c r="R125" s="19" t="n">
        <f aca="false">IF(OR(A125="",H125=""),0,IF(H125&lt;J125,1,0))</f>
        <v>0</v>
      </c>
    </row>
    <row r="126" customFormat="false" ht="15" hidden="false" customHeight="false" outlineLevel="0" collapsed="false">
      <c r="A126" s="16"/>
      <c r="B126" s="17"/>
      <c r="C126" s="18"/>
      <c r="D126" s="17"/>
      <c r="E126" s="17"/>
      <c r="F126" s="17"/>
      <c r="G126" s="17"/>
      <c r="H126" s="17"/>
      <c r="I126" s="19" t="str">
        <f aca="false">IF(A126="","",D126*(E126-F126))</f>
        <v/>
      </c>
      <c r="J126" s="19" t="str">
        <f aca="false">IF(A126="","",IFERROR(INDEX(设定!$B$5:$B$14,MATCH(C126,设定!$A$5:$A$14,0)),0))</f>
        <v/>
      </c>
      <c r="K126" s="20" t="str">
        <f aca="false">IF(A126="","",G126*J126/1000)</f>
        <v/>
      </c>
      <c r="L126" s="20" t="str">
        <f aca="false">IF(A126="","",I126*IFERROR(INDEX(设定!$C$5:$C$14,MATCH(C126,设定!$A$5:$A$14,0)),0))</f>
        <v/>
      </c>
      <c r="M126" s="21" t="str">
        <f aca="false">IF(A126="","",IF(L126&gt;0,K126/L126,0))</f>
        <v/>
      </c>
      <c r="N126" s="21" t="str">
        <f aca="false">IF(OR(A126="",H126=""),"",IF(J126&gt;0,(H126-J126)/J126,0))</f>
        <v/>
      </c>
      <c r="O126" s="22" t="str">
        <f aca="false">IF(OR(A126="",H126=""),"",IF(H126&lt;J126,"⚠ 低于标示",""))</f>
        <v/>
      </c>
      <c r="P126" s="19" t="n">
        <f aca="false">IF(OR(A126="",H126=""),0,G126*(H126-J126))</f>
        <v>0</v>
      </c>
      <c r="Q126" s="19" t="n">
        <f aca="false">IF(OR(A126="",H126=""),0,G126*J126)</f>
        <v>0</v>
      </c>
      <c r="R126" s="19" t="n">
        <f aca="false">IF(OR(A126="",H126=""),0,IF(H126&lt;J126,1,0))</f>
        <v>0</v>
      </c>
    </row>
    <row r="127" customFormat="false" ht="15" hidden="false" customHeight="false" outlineLevel="0" collapsed="false">
      <c r="A127" s="16"/>
      <c r="B127" s="17"/>
      <c r="C127" s="18"/>
      <c r="D127" s="17"/>
      <c r="E127" s="17"/>
      <c r="F127" s="17"/>
      <c r="G127" s="17"/>
      <c r="H127" s="17"/>
      <c r="I127" s="19" t="str">
        <f aca="false">IF(A127="","",D127*(E127-F127))</f>
        <v/>
      </c>
      <c r="J127" s="19" t="str">
        <f aca="false">IF(A127="","",IFERROR(INDEX(设定!$B$5:$B$14,MATCH(C127,设定!$A$5:$A$14,0)),0))</f>
        <v/>
      </c>
      <c r="K127" s="20" t="str">
        <f aca="false">IF(A127="","",G127*J127/1000)</f>
        <v/>
      </c>
      <c r="L127" s="20" t="str">
        <f aca="false">IF(A127="","",I127*IFERROR(INDEX(设定!$C$5:$C$14,MATCH(C127,设定!$A$5:$A$14,0)),0))</f>
        <v/>
      </c>
      <c r="M127" s="21" t="str">
        <f aca="false">IF(A127="","",IF(L127&gt;0,K127/L127,0))</f>
        <v/>
      </c>
      <c r="N127" s="21" t="str">
        <f aca="false">IF(OR(A127="",H127=""),"",IF(J127&gt;0,(H127-J127)/J127,0))</f>
        <v/>
      </c>
      <c r="O127" s="22" t="str">
        <f aca="false">IF(OR(A127="",H127=""),"",IF(H127&lt;J127,"⚠ 低于标示",""))</f>
        <v/>
      </c>
      <c r="P127" s="19" t="n">
        <f aca="false">IF(OR(A127="",H127=""),0,G127*(H127-J127))</f>
        <v>0</v>
      </c>
      <c r="Q127" s="19" t="n">
        <f aca="false">IF(OR(A127="",H127=""),0,G127*J127)</f>
        <v>0</v>
      </c>
      <c r="R127" s="19" t="n">
        <f aca="false">IF(OR(A127="",H127=""),0,IF(H127&lt;J127,1,0))</f>
        <v>0</v>
      </c>
    </row>
    <row r="128" customFormat="false" ht="15" hidden="false" customHeight="false" outlineLevel="0" collapsed="false">
      <c r="A128" s="16"/>
      <c r="B128" s="17"/>
      <c r="C128" s="18"/>
      <c r="D128" s="17"/>
      <c r="E128" s="17"/>
      <c r="F128" s="17"/>
      <c r="G128" s="17"/>
      <c r="H128" s="17"/>
      <c r="I128" s="19" t="str">
        <f aca="false">IF(A128="","",D128*(E128-F128))</f>
        <v/>
      </c>
      <c r="J128" s="19" t="str">
        <f aca="false">IF(A128="","",IFERROR(INDEX(设定!$B$5:$B$14,MATCH(C128,设定!$A$5:$A$14,0)),0))</f>
        <v/>
      </c>
      <c r="K128" s="20" t="str">
        <f aca="false">IF(A128="","",G128*J128/1000)</f>
        <v/>
      </c>
      <c r="L128" s="20" t="str">
        <f aca="false">IF(A128="","",I128*IFERROR(INDEX(设定!$C$5:$C$14,MATCH(C128,设定!$A$5:$A$14,0)),0))</f>
        <v/>
      </c>
      <c r="M128" s="21" t="str">
        <f aca="false">IF(A128="","",IF(L128&gt;0,K128/L128,0))</f>
        <v/>
      </c>
      <c r="N128" s="21" t="str">
        <f aca="false">IF(OR(A128="",H128=""),"",IF(J128&gt;0,(H128-J128)/J128,0))</f>
        <v/>
      </c>
      <c r="O128" s="22" t="str">
        <f aca="false">IF(OR(A128="",H128=""),"",IF(H128&lt;J128,"⚠ 低于标示",""))</f>
        <v/>
      </c>
      <c r="P128" s="19" t="n">
        <f aca="false">IF(OR(A128="",H128=""),0,G128*(H128-J128))</f>
        <v>0</v>
      </c>
      <c r="Q128" s="19" t="n">
        <f aca="false">IF(OR(A128="",H128=""),0,G128*J128)</f>
        <v>0</v>
      </c>
      <c r="R128" s="19" t="n">
        <f aca="false">IF(OR(A128="",H128=""),0,IF(H128&lt;J128,1,0))</f>
        <v>0</v>
      </c>
    </row>
    <row r="129" customFormat="false" ht="15" hidden="false" customHeight="false" outlineLevel="0" collapsed="false">
      <c r="A129" s="16"/>
      <c r="B129" s="17"/>
      <c r="C129" s="18"/>
      <c r="D129" s="17"/>
      <c r="E129" s="17"/>
      <c r="F129" s="17"/>
      <c r="G129" s="17"/>
      <c r="H129" s="17"/>
      <c r="I129" s="19" t="str">
        <f aca="false">IF(A129="","",D129*(E129-F129))</f>
        <v/>
      </c>
      <c r="J129" s="19" t="str">
        <f aca="false">IF(A129="","",IFERROR(INDEX(设定!$B$5:$B$14,MATCH(C129,设定!$A$5:$A$14,0)),0))</f>
        <v/>
      </c>
      <c r="K129" s="20" t="str">
        <f aca="false">IF(A129="","",G129*J129/1000)</f>
        <v/>
      </c>
      <c r="L129" s="20" t="str">
        <f aca="false">IF(A129="","",I129*IFERROR(INDEX(设定!$C$5:$C$14,MATCH(C129,设定!$A$5:$A$14,0)),0))</f>
        <v/>
      </c>
      <c r="M129" s="21" t="str">
        <f aca="false">IF(A129="","",IF(L129&gt;0,K129/L129,0))</f>
        <v/>
      </c>
      <c r="N129" s="21" t="str">
        <f aca="false">IF(OR(A129="",H129=""),"",IF(J129&gt;0,(H129-J129)/J129,0))</f>
        <v/>
      </c>
      <c r="O129" s="22" t="str">
        <f aca="false">IF(OR(A129="",H129=""),"",IF(H129&lt;J129,"⚠ 低于标示",""))</f>
        <v/>
      </c>
      <c r="P129" s="19" t="n">
        <f aca="false">IF(OR(A129="",H129=""),0,G129*(H129-J129))</f>
        <v>0</v>
      </c>
      <c r="Q129" s="19" t="n">
        <f aca="false">IF(OR(A129="",H129=""),0,G129*J129)</f>
        <v>0</v>
      </c>
      <c r="R129" s="19" t="n">
        <f aca="false">IF(OR(A129="",H129=""),0,IF(H129&lt;J129,1,0))</f>
        <v>0</v>
      </c>
    </row>
    <row r="130" customFormat="false" ht="15" hidden="false" customHeight="false" outlineLevel="0" collapsed="false">
      <c r="A130" s="16"/>
      <c r="B130" s="17"/>
      <c r="C130" s="18"/>
      <c r="D130" s="17"/>
      <c r="E130" s="17"/>
      <c r="F130" s="17"/>
      <c r="G130" s="17"/>
      <c r="H130" s="17"/>
      <c r="I130" s="19" t="str">
        <f aca="false">IF(A130="","",D130*(E130-F130))</f>
        <v/>
      </c>
      <c r="J130" s="19" t="str">
        <f aca="false">IF(A130="","",IFERROR(INDEX(设定!$B$5:$B$14,MATCH(C130,设定!$A$5:$A$14,0)),0))</f>
        <v/>
      </c>
      <c r="K130" s="20" t="str">
        <f aca="false">IF(A130="","",G130*J130/1000)</f>
        <v/>
      </c>
      <c r="L130" s="20" t="str">
        <f aca="false">IF(A130="","",I130*IFERROR(INDEX(设定!$C$5:$C$14,MATCH(C130,设定!$A$5:$A$14,0)),0))</f>
        <v/>
      </c>
      <c r="M130" s="21" t="str">
        <f aca="false">IF(A130="","",IF(L130&gt;0,K130/L130,0))</f>
        <v/>
      </c>
      <c r="N130" s="21" t="str">
        <f aca="false">IF(OR(A130="",H130=""),"",IF(J130&gt;0,(H130-J130)/J130,0))</f>
        <v/>
      </c>
      <c r="O130" s="22" t="str">
        <f aca="false">IF(OR(A130="",H130=""),"",IF(H130&lt;J130,"⚠ 低于标示",""))</f>
        <v/>
      </c>
      <c r="P130" s="19" t="n">
        <f aca="false">IF(OR(A130="",H130=""),0,G130*(H130-J130))</f>
        <v>0</v>
      </c>
      <c r="Q130" s="19" t="n">
        <f aca="false">IF(OR(A130="",H130=""),0,G130*J130)</f>
        <v>0</v>
      </c>
      <c r="R130" s="19" t="n">
        <f aca="false">IF(OR(A130="",H130=""),0,IF(H130&lt;J130,1,0))</f>
        <v>0</v>
      </c>
    </row>
    <row r="131" customFormat="false" ht="15" hidden="false" customHeight="false" outlineLevel="0" collapsed="false">
      <c r="A131" s="16"/>
      <c r="B131" s="17"/>
      <c r="C131" s="18"/>
      <c r="D131" s="17"/>
      <c r="E131" s="17"/>
      <c r="F131" s="17"/>
      <c r="G131" s="17"/>
      <c r="H131" s="17"/>
      <c r="I131" s="19" t="str">
        <f aca="false">IF(A131="","",D131*(E131-F131))</f>
        <v/>
      </c>
      <c r="J131" s="19" t="str">
        <f aca="false">IF(A131="","",IFERROR(INDEX(设定!$B$5:$B$14,MATCH(C131,设定!$A$5:$A$14,0)),0))</f>
        <v/>
      </c>
      <c r="K131" s="20" t="str">
        <f aca="false">IF(A131="","",G131*J131/1000)</f>
        <v/>
      </c>
      <c r="L131" s="20" t="str">
        <f aca="false">IF(A131="","",I131*IFERROR(INDEX(设定!$C$5:$C$14,MATCH(C131,设定!$A$5:$A$14,0)),0))</f>
        <v/>
      </c>
      <c r="M131" s="21" t="str">
        <f aca="false">IF(A131="","",IF(L131&gt;0,K131/L131,0))</f>
        <v/>
      </c>
      <c r="N131" s="21" t="str">
        <f aca="false">IF(OR(A131="",H131=""),"",IF(J131&gt;0,(H131-J131)/J131,0))</f>
        <v/>
      </c>
      <c r="O131" s="22" t="str">
        <f aca="false">IF(OR(A131="",H131=""),"",IF(H131&lt;J131,"⚠ 低于标示",""))</f>
        <v/>
      </c>
      <c r="P131" s="19" t="n">
        <f aca="false">IF(OR(A131="",H131=""),0,G131*(H131-J131))</f>
        <v>0</v>
      </c>
      <c r="Q131" s="19" t="n">
        <f aca="false">IF(OR(A131="",H131=""),0,G131*J131)</f>
        <v>0</v>
      </c>
      <c r="R131" s="19" t="n">
        <f aca="false">IF(OR(A131="",H131=""),0,IF(H131&lt;J131,1,0))</f>
        <v>0</v>
      </c>
    </row>
    <row r="132" customFormat="false" ht="15" hidden="false" customHeight="false" outlineLevel="0" collapsed="false">
      <c r="A132" s="16"/>
      <c r="B132" s="17"/>
      <c r="C132" s="18"/>
      <c r="D132" s="17"/>
      <c r="E132" s="17"/>
      <c r="F132" s="17"/>
      <c r="G132" s="17"/>
      <c r="H132" s="17"/>
      <c r="I132" s="19" t="str">
        <f aca="false">IF(A132="","",D132*(E132-F132))</f>
        <v/>
      </c>
      <c r="J132" s="19" t="str">
        <f aca="false">IF(A132="","",IFERROR(INDEX(设定!$B$5:$B$14,MATCH(C132,设定!$A$5:$A$14,0)),0))</f>
        <v/>
      </c>
      <c r="K132" s="20" t="str">
        <f aca="false">IF(A132="","",G132*J132/1000)</f>
        <v/>
      </c>
      <c r="L132" s="20" t="str">
        <f aca="false">IF(A132="","",I132*IFERROR(INDEX(设定!$C$5:$C$14,MATCH(C132,设定!$A$5:$A$14,0)),0))</f>
        <v/>
      </c>
      <c r="M132" s="21" t="str">
        <f aca="false">IF(A132="","",IF(L132&gt;0,K132/L132,0))</f>
        <v/>
      </c>
      <c r="N132" s="21" t="str">
        <f aca="false">IF(OR(A132="",H132=""),"",IF(J132&gt;0,(H132-J132)/J132,0))</f>
        <v/>
      </c>
      <c r="O132" s="22" t="str">
        <f aca="false">IF(OR(A132="",H132=""),"",IF(H132&lt;J132,"⚠ 低于标示",""))</f>
        <v/>
      </c>
      <c r="P132" s="19" t="n">
        <f aca="false">IF(OR(A132="",H132=""),0,G132*(H132-J132))</f>
        <v>0</v>
      </c>
      <c r="Q132" s="19" t="n">
        <f aca="false">IF(OR(A132="",H132=""),0,G132*J132)</f>
        <v>0</v>
      </c>
      <c r="R132" s="19" t="n">
        <f aca="false">IF(OR(A132="",H132=""),0,IF(H132&lt;J132,1,0))</f>
        <v>0</v>
      </c>
    </row>
    <row r="133" customFormat="false" ht="15" hidden="false" customHeight="false" outlineLevel="0" collapsed="false">
      <c r="A133" s="16"/>
      <c r="B133" s="17"/>
      <c r="C133" s="18"/>
      <c r="D133" s="17"/>
      <c r="E133" s="17"/>
      <c r="F133" s="17"/>
      <c r="G133" s="17"/>
      <c r="H133" s="17"/>
      <c r="I133" s="19" t="str">
        <f aca="false">IF(A133="","",D133*(E133-F133))</f>
        <v/>
      </c>
      <c r="J133" s="19" t="str">
        <f aca="false">IF(A133="","",IFERROR(INDEX(设定!$B$5:$B$14,MATCH(C133,设定!$A$5:$A$14,0)),0))</f>
        <v/>
      </c>
      <c r="K133" s="20" t="str">
        <f aca="false">IF(A133="","",G133*J133/1000)</f>
        <v/>
      </c>
      <c r="L133" s="20" t="str">
        <f aca="false">IF(A133="","",I133*IFERROR(INDEX(设定!$C$5:$C$14,MATCH(C133,设定!$A$5:$A$14,0)),0))</f>
        <v/>
      </c>
      <c r="M133" s="21" t="str">
        <f aca="false">IF(A133="","",IF(L133&gt;0,K133/L133,0))</f>
        <v/>
      </c>
      <c r="N133" s="21" t="str">
        <f aca="false">IF(OR(A133="",H133=""),"",IF(J133&gt;0,(H133-J133)/J133,0))</f>
        <v/>
      </c>
      <c r="O133" s="22" t="str">
        <f aca="false">IF(OR(A133="",H133=""),"",IF(H133&lt;J133,"⚠ 低于标示",""))</f>
        <v/>
      </c>
      <c r="P133" s="19" t="n">
        <f aca="false">IF(OR(A133="",H133=""),0,G133*(H133-J133))</f>
        <v>0</v>
      </c>
      <c r="Q133" s="19" t="n">
        <f aca="false">IF(OR(A133="",H133=""),0,G133*J133)</f>
        <v>0</v>
      </c>
      <c r="R133" s="19" t="n">
        <f aca="false">IF(OR(A133="",H133=""),0,IF(H133&lt;J133,1,0))</f>
        <v>0</v>
      </c>
    </row>
    <row r="134" customFormat="false" ht="15" hidden="false" customHeight="false" outlineLevel="0" collapsed="false">
      <c r="A134" s="16"/>
      <c r="B134" s="17"/>
      <c r="C134" s="18"/>
      <c r="D134" s="17"/>
      <c r="E134" s="17"/>
      <c r="F134" s="17"/>
      <c r="G134" s="17"/>
      <c r="H134" s="17"/>
      <c r="I134" s="19" t="str">
        <f aca="false">IF(A134="","",D134*(E134-F134))</f>
        <v/>
      </c>
      <c r="J134" s="19" t="str">
        <f aca="false">IF(A134="","",IFERROR(INDEX(设定!$B$5:$B$14,MATCH(C134,设定!$A$5:$A$14,0)),0))</f>
        <v/>
      </c>
      <c r="K134" s="20" t="str">
        <f aca="false">IF(A134="","",G134*J134/1000)</f>
        <v/>
      </c>
      <c r="L134" s="20" t="str">
        <f aca="false">IF(A134="","",I134*IFERROR(INDEX(设定!$C$5:$C$14,MATCH(C134,设定!$A$5:$A$14,0)),0))</f>
        <v/>
      </c>
      <c r="M134" s="21" t="str">
        <f aca="false">IF(A134="","",IF(L134&gt;0,K134/L134,0))</f>
        <v/>
      </c>
      <c r="N134" s="21" t="str">
        <f aca="false">IF(OR(A134="",H134=""),"",IF(J134&gt;0,(H134-J134)/J134,0))</f>
        <v/>
      </c>
      <c r="O134" s="22" t="str">
        <f aca="false">IF(OR(A134="",H134=""),"",IF(H134&lt;J134,"⚠ 低于标示",""))</f>
        <v/>
      </c>
      <c r="P134" s="19" t="n">
        <f aca="false">IF(OR(A134="",H134=""),0,G134*(H134-J134))</f>
        <v>0</v>
      </c>
      <c r="Q134" s="19" t="n">
        <f aca="false">IF(OR(A134="",H134=""),0,G134*J134)</f>
        <v>0</v>
      </c>
      <c r="R134" s="19" t="n">
        <f aca="false">IF(OR(A134="",H134=""),0,IF(H134&lt;J134,1,0))</f>
        <v>0</v>
      </c>
    </row>
    <row r="135" customFormat="false" ht="15" hidden="false" customHeight="false" outlineLevel="0" collapsed="false">
      <c r="A135" s="16"/>
      <c r="B135" s="17"/>
      <c r="C135" s="18"/>
      <c r="D135" s="17"/>
      <c r="E135" s="17"/>
      <c r="F135" s="17"/>
      <c r="G135" s="17"/>
      <c r="H135" s="17"/>
      <c r="I135" s="19" t="str">
        <f aca="false">IF(A135="","",D135*(E135-F135))</f>
        <v/>
      </c>
      <c r="J135" s="19" t="str">
        <f aca="false">IF(A135="","",IFERROR(INDEX(设定!$B$5:$B$14,MATCH(C135,设定!$A$5:$A$14,0)),0))</f>
        <v/>
      </c>
      <c r="K135" s="20" t="str">
        <f aca="false">IF(A135="","",G135*J135/1000)</f>
        <v/>
      </c>
      <c r="L135" s="20" t="str">
        <f aca="false">IF(A135="","",I135*IFERROR(INDEX(设定!$C$5:$C$14,MATCH(C135,设定!$A$5:$A$14,0)),0))</f>
        <v/>
      </c>
      <c r="M135" s="21" t="str">
        <f aca="false">IF(A135="","",IF(L135&gt;0,K135/L135,0))</f>
        <v/>
      </c>
      <c r="N135" s="21" t="str">
        <f aca="false">IF(OR(A135="",H135=""),"",IF(J135&gt;0,(H135-J135)/J135,0))</f>
        <v/>
      </c>
      <c r="O135" s="22" t="str">
        <f aca="false">IF(OR(A135="",H135=""),"",IF(H135&lt;J135,"⚠ 低于标示",""))</f>
        <v/>
      </c>
      <c r="P135" s="19" t="n">
        <f aca="false">IF(OR(A135="",H135=""),0,G135*(H135-J135))</f>
        <v>0</v>
      </c>
      <c r="Q135" s="19" t="n">
        <f aca="false">IF(OR(A135="",H135=""),0,G135*J135)</f>
        <v>0</v>
      </c>
      <c r="R135" s="19" t="n">
        <f aca="false">IF(OR(A135="",H135=""),0,IF(H135&lt;J135,1,0))</f>
        <v>0</v>
      </c>
    </row>
    <row r="136" customFormat="false" ht="15" hidden="false" customHeight="false" outlineLevel="0" collapsed="false">
      <c r="A136" s="16"/>
      <c r="B136" s="17"/>
      <c r="C136" s="18"/>
      <c r="D136" s="17"/>
      <c r="E136" s="17"/>
      <c r="F136" s="17"/>
      <c r="G136" s="17"/>
      <c r="H136" s="17"/>
      <c r="I136" s="19" t="str">
        <f aca="false">IF(A136="","",D136*(E136-F136))</f>
        <v/>
      </c>
      <c r="J136" s="19" t="str">
        <f aca="false">IF(A136="","",IFERROR(INDEX(设定!$B$5:$B$14,MATCH(C136,设定!$A$5:$A$14,0)),0))</f>
        <v/>
      </c>
      <c r="K136" s="20" t="str">
        <f aca="false">IF(A136="","",G136*J136/1000)</f>
        <v/>
      </c>
      <c r="L136" s="20" t="str">
        <f aca="false">IF(A136="","",I136*IFERROR(INDEX(设定!$C$5:$C$14,MATCH(C136,设定!$A$5:$A$14,0)),0))</f>
        <v/>
      </c>
      <c r="M136" s="21" t="str">
        <f aca="false">IF(A136="","",IF(L136&gt;0,K136/L136,0))</f>
        <v/>
      </c>
      <c r="N136" s="21" t="str">
        <f aca="false">IF(OR(A136="",H136=""),"",IF(J136&gt;0,(H136-J136)/J136,0))</f>
        <v/>
      </c>
      <c r="O136" s="22" t="str">
        <f aca="false">IF(OR(A136="",H136=""),"",IF(H136&lt;J136,"⚠ 低于标示",""))</f>
        <v/>
      </c>
      <c r="P136" s="19" t="n">
        <f aca="false">IF(OR(A136="",H136=""),0,G136*(H136-J136))</f>
        <v>0</v>
      </c>
      <c r="Q136" s="19" t="n">
        <f aca="false">IF(OR(A136="",H136=""),0,G136*J136)</f>
        <v>0</v>
      </c>
      <c r="R136" s="19" t="n">
        <f aca="false">IF(OR(A136="",H136=""),0,IF(H136&lt;J136,1,0))</f>
        <v>0</v>
      </c>
    </row>
    <row r="137" customFormat="false" ht="15" hidden="false" customHeight="false" outlineLevel="0" collapsed="false">
      <c r="A137" s="16"/>
      <c r="B137" s="17"/>
      <c r="C137" s="18"/>
      <c r="D137" s="17"/>
      <c r="E137" s="17"/>
      <c r="F137" s="17"/>
      <c r="G137" s="17"/>
      <c r="H137" s="17"/>
      <c r="I137" s="19" t="str">
        <f aca="false">IF(A137="","",D137*(E137-F137))</f>
        <v/>
      </c>
      <c r="J137" s="19" t="str">
        <f aca="false">IF(A137="","",IFERROR(INDEX(设定!$B$5:$B$14,MATCH(C137,设定!$A$5:$A$14,0)),0))</f>
        <v/>
      </c>
      <c r="K137" s="20" t="str">
        <f aca="false">IF(A137="","",G137*J137/1000)</f>
        <v/>
      </c>
      <c r="L137" s="20" t="str">
        <f aca="false">IF(A137="","",I137*IFERROR(INDEX(设定!$C$5:$C$14,MATCH(C137,设定!$A$5:$A$14,0)),0))</f>
        <v/>
      </c>
      <c r="M137" s="21" t="str">
        <f aca="false">IF(A137="","",IF(L137&gt;0,K137/L137,0))</f>
        <v/>
      </c>
      <c r="N137" s="21" t="str">
        <f aca="false">IF(OR(A137="",H137=""),"",IF(J137&gt;0,(H137-J137)/J137,0))</f>
        <v/>
      </c>
      <c r="O137" s="22" t="str">
        <f aca="false">IF(OR(A137="",H137=""),"",IF(H137&lt;J137,"⚠ 低于标示",""))</f>
        <v/>
      </c>
      <c r="P137" s="19" t="n">
        <f aca="false">IF(OR(A137="",H137=""),0,G137*(H137-J137))</f>
        <v>0</v>
      </c>
      <c r="Q137" s="19" t="n">
        <f aca="false">IF(OR(A137="",H137=""),0,G137*J137)</f>
        <v>0</v>
      </c>
      <c r="R137" s="19" t="n">
        <f aca="false">IF(OR(A137="",H137=""),0,IF(H137&lt;J137,1,0))</f>
        <v>0</v>
      </c>
    </row>
    <row r="138" customFormat="false" ht="15" hidden="false" customHeight="false" outlineLevel="0" collapsed="false">
      <c r="A138" s="16"/>
      <c r="B138" s="17"/>
      <c r="C138" s="18"/>
      <c r="D138" s="17"/>
      <c r="E138" s="17"/>
      <c r="F138" s="17"/>
      <c r="G138" s="17"/>
      <c r="H138" s="17"/>
      <c r="I138" s="19" t="str">
        <f aca="false">IF(A138="","",D138*(E138-F138))</f>
        <v/>
      </c>
      <c r="J138" s="19" t="str">
        <f aca="false">IF(A138="","",IFERROR(INDEX(设定!$B$5:$B$14,MATCH(C138,设定!$A$5:$A$14,0)),0))</f>
        <v/>
      </c>
      <c r="K138" s="20" t="str">
        <f aca="false">IF(A138="","",G138*J138/1000)</f>
        <v/>
      </c>
      <c r="L138" s="20" t="str">
        <f aca="false">IF(A138="","",I138*IFERROR(INDEX(设定!$C$5:$C$14,MATCH(C138,设定!$A$5:$A$14,0)),0))</f>
        <v/>
      </c>
      <c r="M138" s="21" t="str">
        <f aca="false">IF(A138="","",IF(L138&gt;0,K138/L138,0))</f>
        <v/>
      </c>
      <c r="N138" s="21" t="str">
        <f aca="false">IF(OR(A138="",H138=""),"",IF(J138&gt;0,(H138-J138)/J138,0))</f>
        <v/>
      </c>
      <c r="O138" s="22" t="str">
        <f aca="false">IF(OR(A138="",H138=""),"",IF(H138&lt;J138,"⚠ 低于标示",""))</f>
        <v/>
      </c>
      <c r="P138" s="19" t="n">
        <f aca="false">IF(OR(A138="",H138=""),0,G138*(H138-J138))</f>
        <v>0</v>
      </c>
      <c r="Q138" s="19" t="n">
        <f aca="false">IF(OR(A138="",H138=""),0,G138*J138)</f>
        <v>0</v>
      </c>
      <c r="R138" s="19" t="n">
        <f aca="false">IF(OR(A138="",H138=""),0,IF(H138&lt;J138,1,0))</f>
        <v>0</v>
      </c>
    </row>
    <row r="139" customFormat="false" ht="15" hidden="false" customHeight="false" outlineLevel="0" collapsed="false">
      <c r="A139" s="16"/>
      <c r="B139" s="17"/>
      <c r="C139" s="18"/>
      <c r="D139" s="17"/>
      <c r="E139" s="17"/>
      <c r="F139" s="17"/>
      <c r="G139" s="17"/>
      <c r="H139" s="17"/>
      <c r="I139" s="19" t="str">
        <f aca="false">IF(A139="","",D139*(E139-F139))</f>
        <v/>
      </c>
      <c r="J139" s="19" t="str">
        <f aca="false">IF(A139="","",IFERROR(INDEX(设定!$B$5:$B$14,MATCH(C139,设定!$A$5:$A$14,0)),0))</f>
        <v/>
      </c>
      <c r="K139" s="20" t="str">
        <f aca="false">IF(A139="","",G139*J139/1000)</f>
        <v/>
      </c>
      <c r="L139" s="20" t="str">
        <f aca="false">IF(A139="","",I139*IFERROR(INDEX(设定!$C$5:$C$14,MATCH(C139,设定!$A$5:$A$14,0)),0))</f>
        <v/>
      </c>
      <c r="M139" s="21" t="str">
        <f aca="false">IF(A139="","",IF(L139&gt;0,K139/L139,0))</f>
        <v/>
      </c>
      <c r="N139" s="21" t="str">
        <f aca="false">IF(OR(A139="",H139=""),"",IF(J139&gt;0,(H139-J139)/J139,0))</f>
        <v/>
      </c>
      <c r="O139" s="22" t="str">
        <f aca="false">IF(OR(A139="",H139=""),"",IF(H139&lt;J139,"⚠ 低于标示",""))</f>
        <v/>
      </c>
      <c r="P139" s="19" t="n">
        <f aca="false">IF(OR(A139="",H139=""),0,G139*(H139-J139))</f>
        <v>0</v>
      </c>
      <c r="Q139" s="19" t="n">
        <f aca="false">IF(OR(A139="",H139=""),0,G139*J139)</f>
        <v>0</v>
      </c>
      <c r="R139" s="19" t="n">
        <f aca="false">IF(OR(A139="",H139=""),0,IF(H139&lt;J139,1,0))</f>
        <v>0</v>
      </c>
    </row>
    <row r="140" customFormat="false" ht="15" hidden="false" customHeight="false" outlineLevel="0" collapsed="false">
      <c r="A140" s="16"/>
      <c r="B140" s="17"/>
      <c r="C140" s="18"/>
      <c r="D140" s="17"/>
      <c r="E140" s="17"/>
      <c r="F140" s="17"/>
      <c r="G140" s="17"/>
      <c r="H140" s="17"/>
      <c r="I140" s="19" t="str">
        <f aca="false">IF(A140="","",D140*(E140-F140))</f>
        <v/>
      </c>
      <c r="J140" s="19" t="str">
        <f aca="false">IF(A140="","",IFERROR(INDEX(设定!$B$5:$B$14,MATCH(C140,设定!$A$5:$A$14,0)),0))</f>
        <v/>
      </c>
      <c r="K140" s="20" t="str">
        <f aca="false">IF(A140="","",G140*J140/1000)</f>
        <v/>
      </c>
      <c r="L140" s="20" t="str">
        <f aca="false">IF(A140="","",I140*IFERROR(INDEX(设定!$C$5:$C$14,MATCH(C140,设定!$A$5:$A$14,0)),0))</f>
        <v/>
      </c>
      <c r="M140" s="21" t="str">
        <f aca="false">IF(A140="","",IF(L140&gt;0,K140/L140,0))</f>
        <v/>
      </c>
      <c r="N140" s="21" t="str">
        <f aca="false">IF(OR(A140="",H140=""),"",IF(J140&gt;0,(H140-J140)/J140,0))</f>
        <v/>
      </c>
      <c r="O140" s="22" t="str">
        <f aca="false">IF(OR(A140="",H140=""),"",IF(H140&lt;J140,"⚠ 低于标示",""))</f>
        <v/>
      </c>
      <c r="P140" s="19" t="n">
        <f aca="false">IF(OR(A140="",H140=""),0,G140*(H140-J140))</f>
        <v>0</v>
      </c>
      <c r="Q140" s="19" t="n">
        <f aca="false">IF(OR(A140="",H140=""),0,G140*J140)</f>
        <v>0</v>
      </c>
      <c r="R140" s="19" t="n">
        <f aca="false">IF(OR(A140="",H140=""),0,IF(H140&lt;J140,1,0))</f>
        <v>0</v>
      </c>
    </row>
    <row r="141" customFormat="false" ht="15" hidden="false" customHeight="false" outlineLevel="0" collapsed="false">
      <c r="A141" s="16"/>
      <c r="B141" s="17"/>
      <c r="C141" s="18"/>
      <c r="D141" s="17"/>
      <c r="E141" s="17"/>
      <c r="F141" s="17"/>
      <c r="G141" s="17"/>
      <c r="H141" s="17"/>
      <c r="I141" s="19" t="str">
        <f aca="false">IF(A141="","",D141*(E141-F141))</f>
        <v/>
      </c>
      <c r="J141" s="19" t="str">
        <f aca="false">IF(A141="","",IFERROR(INDEX(设定!$B$5:$B$14,MATCH(C141,设定!$A$5:$A$14,0)),0))</f>
        <v/>
      </c>
      <c r="K141" s="20" t="str">
        <f aca="false">IF(A141="","",G141*J141/1000)</f>
        <v/>
      </c>
      <c r="L141" s="20" t="str">
        <f aca="false">IF(A141="","",I141*IFERROR(INDEX(设定!$C$5:$C$14,MATCH(C141,设定!$A$5:$A$14,0)),0))</f>
        <v/>
      </c>
      <c r="M141" s="21" t="str">
        <f aca="false">IF(A141="","",IF(L141&gt;0,K141/L141,0))</f>
        <v/>
      </c>
      <c r="N141" s="21" t="str">
        <f aca="false">IF(OR(A141="",H141=""),"",IF(J141&gt;0,(H141-J141)/J141,0))</f>
        <v/>
      </c>
      <c r="O141" s="22" t="str">
        <f aca="false">IF(OR(A141="",H141=""),"",IF(H141&lt;J141,"⚠ 低于标示",""))</f>
        <v/>
      </c>
      <c r="P141" s="19" t="n">
        <f aca="false">IF(OR(A141="",H141=""),0,G141*(H141-J141))</f>
        <v>0</v>
      </c>
      <c r="Q141" s="19" t="n">
        <f aca="false">IF(OR(A141="",H141=""),0,G141*J141)</f>
        <v>0</v>
      </c>
      <c r="R141" s="19" t="n">
        <f aca="false">IF(OR(A141="",H141=""),0,IF(H141&lt;J141,1,0))</f>
        <v>0</v>
      </c>
    </row>
    <row r="142" customFormat="false" ht="15" hidden="false" customHeight="false" outlineLevel="0" collapsed="false">
      <c r="A142" s="16"/>
      <c r="B142" s="17"/>
      <c r="C142" s="18"/>
      <c r="D142" s="17"/>
      <c r="E142" s="17"/>
      <c r="F142" s="17"/>
      <c r="G142" s="17"/>
      <c r="H142" s="17"/>
      <c r="I142" s="19" t="str">
        <f aca="false">IF(A142="","",D142*(E142-F142))</f>
        <v/>
      </c>
      <c r="J142" s="19" t="str">
        <f aca="false">IF(A142="","",IFERROR(INDEX(设定!$B$5:$B$14,MATCH(C142,设定!$A$5:$A$14,0)),0))</f>
        <v/>
      </c>
      <c r="K142" s="20" t="str">
        <f aca="false">IF(A142="","",G142*J142/1000)</f>
        <v/>
      </c>
      <c r="L142" s="20" t="str">
        <f aca="false">IF(A142="","",I142*IFERROR(INDEX(设定!$C$5:$C$14,MATCH(C142,设定!$A$5:$A$14,0)),0))</f>
        <v/>
      </c>
      <c r="M142" s="21" t="str">
        <f aca="false">IF(A142="","",IF(L142&gt;0,K142/L142,0))</f>
        <v/>
      </c>
      <c r="N142" s="21" t="str">
        <f aca="false">IF(OR(A142="",H142=""),"",IF(J142&gt;0,(H142-J142)/J142,0))</f>
        <v/>
      </c>
      <c r="O142" s="22" t="str">
        <f aca="false">IF(OR(A142="",H142=""),"",IF(H142&lt;J142,"⚠ 低于标示",""))</f>
        <v/>
      </c>
      <c r="P142" s="19" t="n">
        <f aca="false">IF(OR(A142="",H142=""),0,G142*(H142-J142))</f>
        <v>0</v>
      </c>
      <c r="Q142" s="19" t="n">
        <f aca="false">IF(OR(A142="",H142=""),0,G142*J142)</f>
        <v>0</v>
      </c>
      <c r="R142" s="19" t="n">
        <f aca="false">IF(OR(A142="",H142=""),0,IF(H142&lt;J142,1,0))</f>
        <v>0</v>
      </c>
    </row>
    <row r="143" customFormat="false" ht="15" hidden="false" customHeight="false" outlineLevel="0" collapsed="false">
      <c r="A143" s="16"/>
      <c r="B143" s="17"/>
      <c r="C143" s="18"/>
      <c r="D143" s="17"/>
      <c r="E143" s="17"/>
      <c r="F143" s="17"/>
      <c r="G143" s="17"/>
      <c r="H143" s="17"/>
      <c r="I143" s="19" t="str">
        <f aca="false">IF(A143="","",D143*(E143-F143))</f>
        <v/>
      </c>
      <c r="J143" s="19" t="str">
        <f aca="false">IF(A143="","",IFERROR(INDEX(设定!$B$5:$B$14,MATCH(C143,设定!$A$5:$A$14,0)),0))</f>
        <v/>
      </c>
      <c r="K143" s="20" t="str">
        <f aca="false">IF(A143="","",G143*J143/1000)</f>
        <v/>
      </c>
      <c r="L143" s="20" t="str">
        <f aca="false">IF(A143="","",I143*IFERROR(INDEX(设定!$C$5:$C$14,MATCH(C143,设定!$A$5:$A$14,0)),0))</f>
        <v/>
      </c>
      <c r="M143" s="21" t="str">
        <f aca="false">IF(A143="","",IF(L143&gt;0,K143/L143,0))</f>
        <v/>
      </c>
      <c r="N143" s="21" t="str">
        <f aca="false">IF(OR(A143="",H143=""),"",IF(J143&gt;0,(H143-J143)/J143,0))</f>
        <v/>
      </c>
      <c r="O143" s="22" t="str">
        <f aca="false">IF(OR(A143="",H143=""),"",IF(H143&lt;J143,"⚠ 低于标示",""))</f>
        <v/>
      </c>
      <c r="P143" s="19" t="n">
        <f aca="false">IF(OR(A143="",H143=""),0,G143*(H143-J143))</f>
        <v>0</v>
      </c>
      <c r="Q143" s="19" t="n">
        <f aca="false">IF(OR(A143="",H143=""),0,G143*J143)</f>
        <v>0</v>
      </c>
      <c r="R143" s="19" t="n">
        <f aca="false">IF(OR(A143="",H143=""),0,IF(H143&lt;J143,1,0))</f>
        <v>0</v>
      </c>
    </row>
    <row r="144" customFormat="false" ht="15" hidden="false" customHeight="false" outlineLevel="0" collapsed="false">
      <c r="A144" s="16"/>
      <c r="B144" s="17"/>
      <c r="C144" s="18"/>
      <c r="D144" s="17"/>
      <c r="E144" s="17"/>
      <c r="F144" s="17"/>
      <c r="G144" s="17"/>
      <c r="H144" s="17"/>
      <c r="I144" s="19" t="str">
        <f aca="false">IF(A144="","",D144*(E144-F144))</f>
        <v/>
      </c>
      <c r="J144" s="19" t="str">
        <f aca="false">IF(A144="","",IFERROR(INDEX(设定!$B$5:$B$14,MATCH(C144,设定!$A$5:$A$14,0)),0))</f>
        <v/>
      </c>
      <c r="K144" s="20" t="str">
        <f aca="false">IF(A144="","",G144*J144/1000)</f>
        <v/>
      </c>
      <c r="L144" s="20" t="str">
        <f aca="false">IF(A144="","",I144*IFERROR(INDEX(设定!$C$5:$C$14,MATCH(C144,设定!$A$5:$A$14,0)),0))</f>
        <v/>
      </c>
      <c r="M144" s="21" t="str">
        <f aca="false">IF(A144="","",IF(L144&gt;0,K144/L144,0))</f>
        <v/>
      </c>
      <c r="N144" s="21" t="str">
        <f aca="false">IF(OR(A144="",H144=""),"",IF(J144&gt;0,(H144-J144)/J144,0))</f>
        <v/>
      </c>
      <c r="O144" s="22" t="str">
        <f aca="false">IF(OR(A144="",H144=""),"",IF(H144&lt;J144,"⚠ 低于标示",""))</f>
        <v/>
      </c>
      <c r="P144" s="19" t="n">
        <f aca="false">IF(OR(A144="",H144=""),0,G144*(H144-J144))</f>
        <v>0</v>
      </c>
      <c r="Q144" s="19" t="n">
        <f aca="false">IF(OR(A144="",H144=""),0,G144*J144)</f>
        <v>0</v>
      </c>
      <c r="R144" s="19" t="n">
        <f aca="false">IF(OR(A144="",H144=""),0,IF(H144&lt;J144,1,0))</f>
        <v>0</v>
      </c>
    </row>
    <row r="145" customFormat="false" ht="15" hidden="false" customHeight="false" outlineLevel="0" collapsed="false">
      <c r="A145" s="16"/>
      <c r="B145" s="17"/>
      <c r="C145" s="18"/>
      <c r="D145" s="17"/>
      <c r="E145" s="17"/>
      <c r="F145" s="17"/>
      <c r="G145" s="17"/>
      <c r="H145" s="17"/>
      <c r="I145" s="19" t="str">
        <f aca="false">IF(A145="","",D145*(E145-F145))</f>
        <v/>
      </c>
      <c r="J145" s="19" t="str">
        <f aca="false">IF(A145="","",IFERROR(INDEX(设定!$B$5:$B$14,MATCH(C145,设定!$A$5:$A$14,0)),0))</f>
        <v/>
      </c>
      <c r="K145" s="20" t="str">
        <f aca="false">IF(A145="","",G145*J145/1000)</f>
        <v/>
      </c>
      <c r="L145" s="20" t="str">
        <f aca="false">IF(A145="","",I145*IFERROR(INDEX(设定!$C$5:$C$14,MATCH(C145,设定!$A$5:$A$14,0)),0))</f>
        <v/>
      </c>
      <c r="M145" s="21" t="str">
        <f aca="false">IF(A145="","",IF(L145&gt;0,K145/L145,0))</f>
        <v/>
      </c>
      <c r="N145" s="21" t="str">
        <f aca="false">IF(OR(A145="",H145=""),"",IF(J145&gt;0,(H145-J145)/J145,0))</f>
        <v/>
      </c>
      <c r="O145" s="22" t="str">
        <f aca="false">IF(OR(A145="",H145=""),"",IF(H145&lt;J145,"⚠ 低于标示",""))</f>
        <v/>
      </c>
      <c r="P145" s="19" t="n">
        <f aca="false">IF(OR(A145="",H145=""),0,G145*(H145-J145))</f>
        <v>0</v>
      </c>
      <c r="Q145" s="19" t="n">
        <f aca="false">IF(OR(A145="",H145=""),0,G145*J145)</f>
        <v>0</v>
      </c>
      <c r="R145" s="19" t="n">
        <f aca="false">IF(OR(A145="",H145=""),0,IF(H145&lt;J145,1,0))</f>
        <v>0</v>
      </c>
    </row>
    <row r="146" customFormat="false" ht="15" hidden="false" customHeight="false" outlineLevel="0" collapsed="false">
      <c r="A146" s="16"/>
      <c r="B146" s="17"/>
      <c r="C146" s="18"/>
      <c r="D146" s="17"/>
      <c r="E146" s="17"/>
      <c r="F146" s="17"/>
      <c r="G146" s="17"/>
      <c r="H146" s="17"/>
      <c r="I146" s="19" t="str">
        <f aca="false">IF(A146="","",D146*(E146-F146))</f>
        <v/>
      </c>
      <c r="J146" s="19" t="str">
        <f aca="false">IF(A146="","",IFERROR(INDEX(设定!$B$5:$B$14,MATCH(C146,设定!$A$5:$A$14,0)),0))</f>
        <v/>
      </c>
      <c r="K146" s="20" t="str">
        <f aca="false">IF(A146="","",G146*J146/1000)</f>
        <v/>
      </c>
      <c r="L146" s="20" t="str">
        <f aca="false">IF(A146="","",I146*IFERROR(INDEX(设定!$C$5:$C$14,MATCH(C146,设定!$A$5:$A$14,0)),0))</f>
        <v/>
      </c>
      <c r="M146" s="21" t="str">
        <f aca="false">IF(A146="","",IF(L146&gt;0,K146/L146,0))</f>
        <v/>
      </c>
      <c r="N146" s="21" t="str">
        <f aca="false">IF(OR(A146="",H146=""),"",IF(J146&gt;0,(H146-J146)/J146,0))</f>
        <v/>
      </c>
      <c r="O146" s="22" t="str">
        <f aca="false">IF(OR(A146="",H146=""),"",IF(H146&lt;J146,"⚠ 低于标示",""))</f>
        <v/>
      </c>
      <c r="P146" s="19" t="n">
        <f aca="false">IF(OR(A146="",H146=""),0,G146*(H146-J146))</f>
        <v>0</v>
      </c>
      <c r="Q146" s="19" t="n">
        <f aca="false">IF(OR(A146="",H146=""),0,G146*J146)</f>
        <v>0</v>
      </c>
      <c r="R146" s="19" t="n">
        <f aca="false">IF(OR(A146="",H146=""),0,IF(H146&lt;J146,1,0))</f>
        <v>0</v>
      </c>
    </row>
    <row r="147" customFormat="false" ht="15" hidden="false" customHeight="false" outlineLevel="0" collapsed="false">
      <c r="A147" s="16"/>
      <c r="B147" s="17"/>
      <c r="C147" s="18"/>
      <c r="D147" s="17"/>
      <c r="E147" s="17"/>
      <c r="F147" s="17"/>
      <c r="G147" s="17"/>
      <c r="H147" s="17"/>
      <c r="I147" s="19" t="str">
        <f aca="false">IF(A147="","",D147*(E147-F147))</f>
        <v/>
      </c>
      <c r="J147" s="19" t="str">
        <f aca="false">IF(A147="","",IFERROR(INDEX(设定!$B$5:$B$14,MATCH(C147,设定!$A$5:$A$14,0)),0))</f>
        <v/>
      </c>
      <c r="K147" s="20" t="str">
        <f aca="false">IF(A147="","",G147*J147/1000)</f>
        <v/>
      </c>
      <c r="L147" s="20" t="str">
        <f aca="false">IF(A147="","",I147*IFERROR(INDEX(设定!$C$5:$C$14,MATCH(C147,设定!$A$5:$A$14,0)),0))</f>
        <v/>
      </c>
      <c r="M147" s="21" t="str">
        <f aca="false">IF(A147="","",IF(L147&gt;0,K147/L147,0))</f>
        <v/>
      </c>
      <c r="N147" s="21" t="str">
        <f aca="false">IF(OR(A147="",H147=""),"",IF(J147&gt;0,(H147-J147)/J147,0))</f>
        <v/>
      </c>
      <c r="O147" s="22" t="str">
        <f aca="false">IF(OR(A147="",H147=""),"",IF(H147&lt;J147,"⚠ 低于标示",""))</f>
        <v/>
      </c>
      <c r="P147" s="19" t="n">
        <f aca="false">IF(OR(A147="",H147=""),0,G147*(H147-J147))</f>
        <v>0</v>
      </c>
      <c r="Q147" s="19" t="n">
        <f aca="false">IF(OR(A147="",H147=""),0,G147*J147)</f>
        <v>0</v>
      </c>
      <c r="R147" s="19" t="n">
        <f aca="false">IF(OR(A147="",H147=""),0,IF(H147&lt;J147,1,0))</f>
        <v>0</v>
      </c>
    </row>
    <row r="148" customFormat="false" ht="15" hidden="false" customHeight="false" outlineLevel="0" collapsed="false">
      <c r="A148" s="16"/>
      <c r="B148" s="17"/>
      <c r="C148" s="18"/>
      <c r="D148" s="17"/>
      <c r="E148" s="17"/>
      <c r="F148" s="17"/>
      <c r="G148" s="17"/>
      <c r="H148" s="17"/>
      <c r="I148" s="19" t="str">
        <f aca="false">IF(A148="","",D148*(E148-F148))</f>
        <v/>
      </c>
      <c r="J148" s="19" t="str">
        <f aca="false">IF(A148="","",IFERROR(INDEX(设定!$B$5:$B$14,MATCH(C148,设定!$A$5:$A$14,0)),0))</f>
        <v/>
      </c>
      <c r="K148" s="20" t="str">
        <f aca="false">IF(A148="","",G148*J148/1000)</f>
        <v/>
      </c>
      <c r="L148" s="20" t="str">
        <f aca="false">IF(A148="","",I148*IFERROR(INDEX(设定!$C$5:$C$14,MATCH(C148,设定!$A$5:$A$14,0)),0))</f>
        <v/>
      </c>
      <c r="M148" s="21" t="str">
        <f aca="false">IF(A148="","",IF(L148&gt;0,K148/L148,0))</f>
        <v/>
      </c>
      <c r="N148" s="21" t="str">
        <f aca="false">IF(OR(A148="",H148=""),"",IF(J148&gt;0,(H148-J148)/J148,0))</f>
        <v/>
      </c>
      <c r="O148" s="22" t="str">
        <f aca="false">IF(OR(A148="",H148=""),"",IF(H148&lt;J148,"⚠ 低于标示",""))</f>
        <v/>
      </c>
      <c r="P148" s="19" t="n">
        <f aca="false">IF(OR(A148="",H148=""),0,G148*(H148-J148))</f>
        <v>0</v>
      </c>
      <c r="Q148" s="19" t="n">
        <f aca="false">IF(OR(A148="",H148=""),0,G148*J148)</f>
        <v>0</v>
      </c>
      <c r="R148" s="19" t="n">
        <f aca="false">IF(OR(A148="",H148=""),0,IF(H148&lt;J148,1,0))</f>
        <v>0</v>
      </c>
    </row>
    <row r="149" customFormat="false" ht="15" hidden="false" customHeight="false" outlineLevel="0" collapsed="false">
      <c r="A149" s="16"/>
      <c r="B149" s="17"/>
      <c r="C149" s="18"/>
      <c r="D149" s="17"/>
      <c r="E149" s="17"/>
      <c r="F149" s="17"/>
      <c r="G149" s="17"/>
      <c r="H149" s="17"/>
      <c r="I149" s="19" t="str">
        <f aca="false">IF(A149="","",D149*(E149-F149))</f>
        <v/>
      </c>
      <c r="J149" s="19" t="str">
        <f aca="false">IF(A149="","",IFERROR(INDEX(设定!$B$5:$B$14,MATCH(C149,设定!$A$5:$A$14,0)),0))</f>
        <v/>
      </c>
      <c r="K149" s="20" t="str">
        <f aca="false">IF(A149="","",G149*J149/1000)</f>
        <v/>
      </c>
      <c r="L149" s="20" t="str">
        <f aca="false">IF(A149="","",I149*IFERROR(INDEX(设定!$C$5:$C$14,MATCH(C149,设定!$A$5:$A$14,0)),0))</f>
        <v/>
      </c>
      <c r="M149" s="21" t="str">
        <f aca="false">IF(A149="","",IF(L149&gt;0,K149/L149,0))</f>
        <v/>
      </c>
      <c r="N149" s="21" t="str">
        <f aca="false">IF(OR(A149="",H149=""),"",IF(J149&gt;0,(H149-J149)/J149,0))</f>
        <v/>
      </c>
      <c r="O149" s="22" t="str">
        <f aca="false">IF(OR(A149="",H149=""),"",IF(H149&lt;J149,"⚠ 低于标示",""))</f>
        <v/>
      </c>
      <c r="P149" s="19" t="n">
        <f aca="false">IF(OR(A149="",H149=""),0,G149*(H149-J149))</f>
        <v>0</v>
      </c>
      <c r="Q149" s="19" t="n">
        <f aca="false">IF(OR(A149="",H149=""),0,G149*J149)</f>
        <v>0</v>
      </c>
      <c r="R149" s="19" t="n">
        <f aca="false">IF(OR(A149="",H149=""),0,IF(H149&lt;J149,1,0))</f>
        <v>0</v>
      </c>
    </row>
    <row r="150" customFormat="false" ht="15" hidden="false" customHeight="false" outlineLevel="0" collapsed="false">
      <c r="A150" s="16"/>
      <c r="B150" s="17"/>
      <c r="C150" s="18"/>
      <c r="D150" s="17"/>
      <c r="E150" s="17"/>
      <c r="F150" s="17"/>
      <c r="G150" s="17"/>
      <c r="H150" s="17"/>
      <c r="I150" s="19" t="str">
        <f aca="false">IF(A150="","",D150*(E150-F150))</f>
        <v/>
      </c>
      <c r="J150" s="19" t="str">
        <f aca="false">IF(A150="","",IFERROR(INDEX(设定!$B$5:$B$14,MATCH(C150,设定!$A$5:$A$14,0)),0))</f>
        <v/>
      </c>
      <c r="K150" s="20" t="str">
        <f aca="false">IF(A150="","",G150*J150/1000)</f>
        <v/>
      </c>
      <c r="L150" s="20" t="str">
        <f aca="false">IF(A150="","",I150*IFERROR(INDEX(设定!$C$5:$C$14,MATCH(C150,设定!$A$5:$A$14,0)),0))</f>
        <v/>
      </c>
      <c r="M150" s="21" t="str">
        <f aca="false">IF(A150="","",IF(L150&gt;0,K150/L150,0))</f>
        <v/>
      </c>
      <c r="N150" s="21" t="str">
        <f aca="false">IF(OR(A150="",H150=""),"",IF(J150&gt;0,(H150-J150)/J150,0))</f>
        <v/>
      </c>
      <c r="O150" s="22" t="str">
        <f aca="false">IF(OR(A150="",H150=""),"",IF(H150&lt;J150,"⚠ 低于标示",""))</f>
        <v/>
      </c>
      <c r="P150" s="19" t="n">
        <f aca="false">IF(OR(A150="",H150=""),0,G150*(H150-J150))</f>
        <v>0</v>
      </c>
      <c r="Q150" s="19" t="n">
        <f aca="false">IF(OR(A150="",H150=""),0,G150*J150)</f>
        <v>0</v>
      </c>
      <c r="R150" s="19" t="n">
        <f aca="false">IF(OR(A150="",H150=""),0,IF(H150&lt;J150,1,0))</f>
        <v>0</v>
      </c>
    </row>
    <row r="151" customFormat="false" ht="15" hidden="false" customHeight="false" outlineLevel="0" collapsed="false">
      <c r="A151" s="16"/>
      <c r="B151" s="17"/>
      <c r="C151" s="18"/>
      <c r="D151" s="17"/>
      <c r="E151" s="17"/>
      <c r="F151" s="17"/>
      <c r="G151" s="17"/>
      <c r="H151" s="17"/>
      <c r="I151" s="19" t="str">
        <f aca="false">IF(A151="","",D151*(E151-F151))</f>
        <v/>
      </c>
      <c r="J151" s="19" t="str">
        <f aca="false">IF(A151="","",IFERROR(INDEX(设定!$B$5:$B$14,MATCH(C151,设定!$A$5:$A$14,0)),0))</f>
        <v/>
      </c>
      <c r="K151" s="20" t="str">
        <f aca="false">IF(A151="","",G151*J151/1000)</f>
        <v/>
      </c>
      <c r="L151" s="20" t="str">
        <f aca="false">IF(A151="","",I151*IFERROR(INDEX(设定!$C$5:$C$14,MATCH(C151,设定!$A$5:$A$14,0)),0))</f>
        <v/>
      </c>
      <c r="M151" s="21" t="str">
        <f aca="false">IF(A151="","",IF(L151&gt;0,K151/L151,0))</f>
        <v/>
      </c>
      <c r="N151" s="21" t="str">
        <f aca="false">IF(OR(A151="",H151=""),"",IF(J151&gt;0,(H151-J151)/J151,0))</f>
        <v/>
      </c>
      <c r="O151" s="22" t="str">
        <f aca="false">IF(OR(A151="",H151=""),"",IF(H151&lt;J151,"⚠ 低于标示",""))</f>
        <v/>
      </c>
      <c r="P151" s="19" t="n">
        <f aca="false">IF(OR(A151="",H151=""),0,G151*(H151-J151))</f>
        <v>0</v>
      </c>
      <c r="Q151" s="19" t="n">
        <f aca="false">IF(OR(A151="",H151=""),0,G151*J151)</f>
        <v>0</v>
      </c>
      <c r="R151" s="19" t="n">
        <f aca="false">IF(OR(A151="",H151=""),0,IF(H151&lt;J151,1,0))</f>
        <v>0</v>
      </c>
    </row>
    <row r="152" customFormat="false" ht="15" hidden="false" customHeight="false" outlineLevel="0" collapsed="false">
      <c r="A152" s="16"/>
      <c r="B152" s="17"/>
      <c r="C152" s="18"/>
      <c r="D152" s="17"/>
      <c r="E152" s="17"/>
      <c r="F152" s="17"/>
      <c r="G152" s="17"/>
      <c r="H152" s="17"/>
      <c r="I152" s="19" t="str">
        <f aca="false">IF(A152="","",D152*(E152-F152))</f>
        <v/>
      </c>
      <c r="J152" s="19" t="str">
        <f aca="false">IF(A152="","",IFERROR(INDEX(设定!$B$5:$B$14,MATCH(C152,设定!$A$5:$A$14,0)),0))</f>
        <v/>
      </c>
      <c r="K152" s="20" t="str">
        <f aca="false">IF(A152="","",G152*J152/1000)</f>
        <v/>
      </c>
      <c r="L152" s="20" t="str">
        <f aca="false">IF(A152="","",I152*IFERROR(INDEX(设定!$C$5:$C$14,MATCH(C152,设定!$A$5:$A$14,0)),0))</f>
        <v/>
      </c>
      <c r="M152" s="21" t="str">
        <f aca="false">IF(A152="","",IF(L152&gt;0,K152/L152,0))</f>
        <v/>
      </c>
      <c r="N152" s="21" t="str">
        <f aca="false">IF(OR(A152="",H152=""),"",IF(J152&gt;0,(H152-J152)/J152,0))</f>
        <v/>
      </c>
      <c r="O152" s="22" t="str">
        <f aca="false">IF(OR(A152="",H152=""),"",IF(H152&lt;J152,"⚠ 低于标示",""))</f>
        <v/>
      </c>
      <c r="P152" s="19" t="n">
        <f aca="false">IF(OR(A152="",H152=""),0,G152*(H152-J152))</f>
        <v>0</v>
      </c>
      <c r="Q152" s="19" t="n">
        <f aca="false">IF(OR(A152="",H152=""),0,G152*J152)</f>
        <v>0</v>
      </c>
      <c r="R152" s="19" t="n">
        <f aca="false">IF(OR(A152="",H152=""),0,IF(H152&lt;J152,1,0))</f>
        <v>0</v>
      </c>
    </row>
    <row r="153" customFormat="false" ht="15" hidden="false" customHeight="false" outlineLevel="0" collapsed="false">
      <c r="A153" s="16"/>
      <c r="B153" s="17"/>
      <c r="C153" s="18"/>
      <c r="D153" s="17"/>
      <c r="E153" s="17"/>
      <c r="F153" s="17"/>
      <c r="G153" s="17"/>
      <c r="H153" s="17"/>
      <c r="I153" s="19" t="str">
        <f aca="false">IF(A153="","",D153*(E153-F153))</f>
        <v/>
      </c>
      <c r="J153" s="19" t="str">
        <f aca="false">IF(A153="","",IFERROR(INDEX(设定!$B$5:$B$14,MATCH(C153,设定!$A$5:$A$14,0)),0))</f>
        <v/>
      </c>
      <c r="K153" s="20" t="str">
        <f aca="false">IF(A153="","",G153*J153/1000)</f>
        <v/>
      </c>
      <c r="L153" s="20" t="str">
        <f aca="false">IF(A153="","",I153*IFERROR(INDEX(设定!$C$5:$C$14,MATCH(C153,设定!$A$5:$A$14,0)),0))</f>
        <v/>
      </c>
      <c r="M153" s="21" t="str">
        <f aca="false">IF(A153="","",IF(L153&gt;0,K153/L153,0))</f>
        <v/>
      </c>
      <c r="N153" s="21" t="str">
        <f aca="false">IF(OR(A153="",H153=""),"",IF(J153&gt;0,(H153-J153)/J153,0))</f>
        <v/>
      </c>
      <c r="O153" s="22" t="str">
        <f aca="false">IF(OR(A153="",H153=""),"",IF(H153&lt;J153,"⚠ 低于标示",""))</f>
        <v/>
      </c>
      <c r="P153" s="19" t="n">
        <f aca="false">IF(OR(A153="",H153=""),0,G153*(H153-J153))</f>
        <v>0</v>
      </c>
      <c r="Q153" s="19" t="n">
        <f aca="false">IF(OR(A153="",H153=""),0,G153*J153)</f>
        <v>0</v>
      </c>
      <c r="R153" s="19" t="n">
        <f aca="false">IF(OR(A153="",H153=""),0,IF(H153&lt;J153,1,0))</f>
        <v>0</v>
      </c>
    </row>
    <row r="154" customFormat="false" ht="15" hidden="false" customHeight="false" outlineLevel="0" collapsed="false">
      <c r="A154" s="16"/>
      <c r="B154" s="17"/>
      <c r="C154" s="18"/>
      <c r="D154" s="17"/>
      <c r="E154" s="17"/>
      <c r="F154" s="17"/>
      <c r="G154" s="17"/>
      <c r="H154" s="17"/>
      <c r="I154" s="19" t="str">
        <f aca="false">IF(A154="","",D154*(E154-F154))</f>
        <v/>
      </c>
      <c r="J154" s="19" t="str">
        <f aca="false">IF(A154="","",IFERROR(INDEX(设定!$B$5:$B$14,MATCH(C154,设定!$A$5:$A$14,0)),0))</f>
        <v/>
      </c>
      <c r="K154" s="20" t="str">
        <f aca="false">IF(A154="","",G154*J154/1000)</f>
        <v/>
      </c>
      <c r="L154" s="20" t="str">
        <f aca="false">IF(A154="","",I154*IFERROR(INDEX(设定!$C$5:$C$14,MATCH(C154,设定!$A$5:$A$14,0)),0))</f>
        <v/>
      </c>
      <c r="M154" s="21" t="str">
        <f aca="false">IF(A154="","",IF(L154&gt;0,K154/L154,0))</f>
        <v/>
      </c>
      <c r="N154" s="21" t="str">
        <f aca="false">IF(OR(A154="",H154=""),"",IF(J154&gt;0,(H154-J154)/J154,0))</f>
        <v/>
      </c>
      <c r="O154" s="22" t="str">
        <f aca="false">IF(OR(A154="",H154=""),"",IF(H154&lt;J154,"⚠ 低于标示",""))</f>
        <v/>
      </c>
      <c r="P154" s="19" t="n">
        <f aca="false">IF(OR(A154="",H154=""),0,G154*(H154-J154))</f>
        <v>0</v>
      </c>
      <c r="Q154" s="19" t="n">
        <f aca="false">IF(OR(A154="",H154=""),0,G154*J154)</f>
        <v>0</v>
      </c>
      <c r="R154" s="19" t="n">
        <f aca="false">IF(OR(A154="",H154=""),0,IF(H154&lt;J154,1,0))</f>
        <v>0</v>
      </c>
    </row>
    <row r="155" customFormat="false" ht="15" hidden="false" customHeight="false" outlineLevel="0" collapsed="false">
      <c r="A155" s="16"/>
      <c r="B155" s="17"/>
      <c r="C155" s="18"/>
      <c r="D155" s="17"/>
      <c r="E155" s="17"/>
      <c r="F155" s="17"/>
      <c r="G155" s="17"/>
      <c r="H155" s="17"/>
      <c r="I155" s="19" t="str">
        <f aca="false">IF(A155="","",D155*(E155-F155))</f>
        <v/>
      </c>
      <c r="J155" s="19" t="str">
        <f aca="false">IF(A155="","",IFERROR(INDEX(设定!$B$5:$B$14,MATCH(C155,设定!$A$5:$A$14,0)),0))</f>
        <v/>
      </c>
      <c r="K155" s="20" t="str">
        <f aca="false">IF(A155="","",G155*J155/1000)</f>
        <v/>
      </c>
      <c r="L155" s="20" t="str">
        <f aca="false">IF(A155="","",I155*IFERROR(INDEX(设定!$C$5:$C$14,MATCH(C155,设定!$A$5:$A$14,0)),0))</f>
        <v/>
      </c>
      <c r="M155" s="21" t="str">
        <f aca="false">IF(A155="","",IF(L155&gt;0,K155/L155,0))</f>
        <v/>
      </c>
      <c r="N155" s="21" t="str">
        <f aca="false">IF(OR(A155="",H155=""),"",IF(J155&gt;0,(H155-J155)/J155,0))</f>
        <v/>
      </c>
      <c r="O155" s="22" t="str">
        <f aca="false">IF(OR(A155="",H155=""),"",IF(H155&lt;J155,"⚠ 低于标示",""))</f>
        <v/>
      </c>
      <c r="P155" s="19" t="n">
        <f aca="false">IF(OR(A155="",H155=""),0,G155*(H155-J155))</f>
        <v>0</v>
      </c>
      <c r="Q155" s="19" t="n">
        <f aca="false">IF(OR(A155="",H155=""),0,G155*J155)</f>
        <v>0</v>
      </c>
      <c r="R155" s="19" t="n">
        <f aca="false">IF(OR(A155="",H155=""),0,IF(H155&lt;J155,1,0))</f>
        <v>0</v>
      </c>
    </row>
    <row r="156" customFormat="false" ht="15" hidden="false" customHeight="false" outlineLevel="0" collapsed="false">
      <c r="A156" s="16"/>
      <c r="B156" s="17"/>
      <c r="C156" s="18"/>
      <c r="D156" s="17"/>
      <c r="E156" s="17"/>
      <c r="F156" s="17"/>
      <c r="G156" s="17"/>
      <c r="H156" s="17"/>
      <c r="I156" s="19" t="str">
        <f aca="false">IF(A156="","",D156*(E156-F156))</f>
        <v/>
      </c>
      <c r="J156" s="19" t="str">
        <f aca="false">IF(A156="","",IFERROR(INDEX(设定!$B$5:$B$14,MATCH(C156,设定!$A$5:$A$14,0)),0))</f>
        <v/>
      </c>
      <c r="K156" s="20" t="str">
        <f aca="false">IF(A156="","",G156*J156/1000)</f>
        <v/>
      </c>
      <c r="L156" s="20" t="str">
        <f aca="false">IF(A156="","",I156*IFERROR(INDEX(设定!$C$5:$C$14,MATCH(C156,设定!$A$5:$A$14,0)),0))</f>
        <v/>
      </c>
      <c r="M156" s="21" t="str">
        <f aca="false">IF(A156="","",IF(L156&gt;0,K156/L156,0))</f>
        <v/>
      </c>
      <c r="N156" s="21" t="str">
        <f aca="false">IF(OR(A156="",H156=""),"",IF(J156&gt;0,(H156-J156)/J156,0))</f>
        <v/>
      </c>
      <c r="O156" s="22" t="str">
        <f aca="false">IF(OR(A156="",H156=""),"",IF(H156&lt;J156,"⚠ 低于标示",""))</f>
        <v/>
      </c>
      <c r="P156" s="19" t="n">
        <f aca="false">IF(OR(A156="",H156=""),0,G156*(H156-J156))</f>
        <v>0</v>
      </c>
      <c r="Q156" s="19" t="n">
        <f aca="false">IF(OR(A156="",H156=""),0,G156*J156)</f>
        <v>0</v>
      </c>
      <c r="R156" s="19" t="n">
        <f aca="false">IF(OR(A156="",H156=""),0,IF(H156&lt;J156,1,0))</f>
        <v>0</v>
      </c>
    </row>
    <row r="157" customFormat="false" ht="15" hidden="false" customHeight="false" outlineLevel="0" collapsed="false">
      <c r="A157" s="16"/>
      <c r="B157" s="17"/>
      <c r="C157" s="18"/>
      <c r="D157" s="17"/>
      <c r="E157" s="17"/>
      <c r="F157" s="17"/>
      <c r="G157" s="17"/>
      <c r="H157" s="17"/>
      <c r="I157" s="19" t="str">
        <f aca="false">IF(A157="","",D157*(E157-F157))</f>
        <v/>
      </c>
      <c r="J157" s="19" t="str">
        <f aca="false">IF(A157="","",IFERROR(INDEX(设定!$B$5:$B$14,MATCH(C157,设定!$A$5:$A$14,0)),0))</f>
        <v/>
      </c>
      <c r="K157" s="20" t="str">
        <f aca="false">IF(A157="","",G157*J157/1000)</f>
        <v/>
      </c>
      <c r="L157" s="20" t="str">
        <f aca="false">IF(A157="","",I157*IFERROR(INDEX(设定!$C$5:$C$14,MATCH(C157,设定!$A$5:$A$14,0)),0))</f>
        <v/>
      </c>
      <c r="M157" s="21" t="str">
        <f aca="false">IF(A157="","",IF(L157&gt;0,K157/L157,0))</f>
        <v/>
      </c>
      <c r="N157" s="21" t="str">
        <f aca="false">IF(OR(A157="",H157=""),"",IF(J157&gt;0,(H157-J157)/J157,0))</f>
        <v/>
      </c>
      <c r="O157" s="22" t="str">
        <f aca="false">IF(OR(A157="",H157=""),"",IF(H157&lt;J157,"⚠ 低于标示",""))</f>
        <v/>
      </c>
      <c r="P157" s="19" t="n">
        <f aca="false">IF(OR(A157="",H157=""),0,G157*(H157-J157))</f>
        <v>0</v>
      </c>
      <c r="Q157" s="19" t="n">
        <f aca="false">IF(OR(A157="",H157=""),0,G157*J157)</f>
        <v>0</v>
      </c>
      <c r="R157" s="19" t="n">
        <f aca="false">IF(OR(A157="",H157=""),0,IF(H157&lt;J157,1,0))</f>
        <v>0</v>
      </c>
    </row>
    <row r="158" customFormat="false" ht="15" hidden="false" customHeight="false" outlineLevel="0" collapsed="false">
      <c r="A158" s="16"/>
      <c r="B158" s="17"/>
      <c r="C158" s="18"/>
      <c r="D158" s="17"/>
      <c r="E158" s="17"/>
      <c r="F158" s="17"/>
      <c r="G158" s="17"/>
      <c r="H158" s="17"/>
      <c r="I158" s="19" t="str">
        <f aca="false">IF(A158="","",D158*(E158-F158))</f>
        <v/>
      </c>
      <c r="J158" s="19" t="str">
        <f aca="false">IF(A158="","",IFERROR(INDEX(设定!$B$5:$B$14,MATCH(C158,设定!$A$5:$A$14,0)),0))</f>
        <v/>
      </c>
      <c r="K158" s="20" t="str">
        <f aca="false">IF(A158="","",G158*J158/1000)</f>
        <v/>
      </c>
      <c r="L158" s="20" t="str">
        <f aca="false">IF(A158="","",I158*IFERROR(INDEX(设定!$C$5:$C$14,MATCH(C158,设定!$A$5:$A$14,0)),0))</f>
        <v/>
      </c>
      <c r="M158" s="21" t="str">
        <f aca="false">IF(A158="","",IF(L158&gt;0,K158/L158,0))</f>
        <v/>
      </c>
      <c r="N158" s="21" t="str">
        <f aca="false">IF(OR(A158="",H158=""),"",IF(J158&gt;0,(H158-J158)/J158,0))</f>
        <v/>
      </c>
      <c r="O158" s="22" t="str">
        <f aca="false">IF(OR(A158="",H158=""),"",IF(H158&lt;J158,"⚠ 低于标示",""))</f>
        <v/>
      </c>
      <c r="P158" s="19" t="n">
        <f aca="false">IF(OR(A158="",H158=""),0,G158*(H158-J158))</f>
        <v>0</v>
      </c>
      <c r="Q158" s="19" t="n">
        <f aca="false">IF(OR(A158="",H158=""),0,G158*J158)</f>
        <v>0</v>
      </c>
      <c r="R158" s="19" t="n">
        <f aca="false">IF(OR(A158="",H158=""),0,IF(H158&lt;J158,1,0))</f>
        <v>0</v>
      </c>
    </row>
    <row r="159" customFormat="false" ht="15" hidden="false" customHeight="false" outlineLevel="0" collapsed="false">
      <c r="A159" s="16"/>
      <c r="B159" s="17"/>
      <c r="C159" s="18"/>
      <c r="D159" s="17"/>
      <c r="E159" s="17"/>
      <c r="F159" s="17"/>
      <c r="G159" s="17"/>
      <c r="H159" s="17"/>
      <c r="I159" s="19" t="str">
        <f aca="false">IF(A159="","",D159*(E159-F159))</f>
        <v/>
      </c>
      <c r="J159" s="19" t="str">
        <f aca="false">IF(A159="","",IFERROR(INDEX(设定!$B$5:$B$14,MATCH(C159,设定!$A$5:$A$14,0)),0))</f>
        <v/>
      </c>
      <c r="K159" s="20" t="str">
        <f aca="false">IF(A159="","",G159*J159/1000)</f>
        <v/>
      </c>
      <c r="L159" s="20" t="str">
        <f aca="false">IF(A159="","",I159*IFERROR(INDEX(设定!$C$5:$C$14,MATCH(C159,设定!$A$5:$A$14,0)),0))</f>
        <v/>
      </c>
      <c r="M159" s="21" t="str">
        <f aca="false">IF(A159="","",IF(L159&gt;0,K159/L159,0))</f>
        <v/>
      </c>
      <c r="N159" s="21" t="str">
        <f aca="false">IF(OR(A159="",H159=""),"",IF(J159&gt;0,(H159-J159)/J159,0))</f>
        <v/>
      </c>
      <c r="O159" s="22" t="str">
        <f aca="false">IF(OR(A159="",H159=""),"",IF(H159&lt;J159,"⚠ 低于标示",""))</f>
        <v/>
      </c>
      <c r="P159" s="19" t="n">
        <f aca="false">IF(OR(A159="",H159=""),0,G159*(H159-J159))</f>
        <v>0</v>
      </c>
      <c r="Q159" s="19" t="n">
        <f aca="false">IF(OR(A159="",H159=""),0,G159*J159)</f>
        <v>0</v>
      </c>
      <c r="R159" s="19" t="n">
        <f aca="false">IF(OR(A159="",H159=""),0,IF(H159&lt;J159,1,0))</f>
        <v>0</v>
      </c>
    </row>
    <row r="160" customFormat="false" ht="15" hidden="false" customHeight="false" outlineLevel="0" collapsed="false">
      <c r="A160" s="16"/>
      <c r="B160" s="17"/>
      <c r="C160" s="18"/>
      <c r="D160" s="17"/>
      <c r="E160" s="17"/>
      <c r="F160" s="17"/>
      <c r="G160" s="17"/>
      <c r="H160" s="17"/>
      <c r="I160" s="19" t="str">
        <f aca="false">IF(A160="","",D160*(E160-F160))</f>
        <v/>
      </c>
      <c r="J160" s="19" t="str">
        <f aca="false">IF(A160="","",IFERROR(INDEX(设定!$B$5:$B$14,MATCH(C160,设定!$A$5:$A$14,0)),0))</f>
        <v/>
      </c>
      <c r="K160" s="20" t="str">
        <f aca="false">IF(A160="","",G160*J160/1000)</f>
        <v/>
      </c>
      <c r="L160" s="20" t="str">
        <f aca="false">IF(A160="","",I160*IFERROR(INDEX(设定!$C$5:$C$14,MATCH(C160,设定!$A$5:$A$14,0)),0))</f>
        <v/>
      </c>
      <c r="M160" s="21" t="str">
        <f aca="false">IF(A160="","",IF(L160&gt;0,K160/L160,0))</f>
        <v/>
      </c>
      <c r="N160" s="21" t="str">
        <f aca="false">IF(OR(A160="",H160=""),"",IF(J160&gt;0,(H160-J160)/J160,0))</f>
        <v/>
      </c>
      <c r="O160" s="22" t="str">
        <f aca="false">IF(OR(A160="",H160=""),"",IF(H160&lt;J160,"⚠ 低于标示",""))</f>
        <v/>
      </c>
      <c r="P160" s="19" t="n">
        <f aca="false">IF(OR(A160="",H160=""),0,G160*(H160-J160))</f>
        <v>0</v>
      </c>
      <c r="Q160" s="19" t="n">
        <f aca="false">IF(OR(A160="",H160=""),0,G160*J160)</f>
        <v>0</v>
      </c>
      <c r="R160" s="19" t="n">
        <f aca="false">IF(OR(A160="",H160=""),0,IF(H160&lt;J160,1,0))</f>
        <v>0</v>
      </c>
    </row>
    <row r="161" customFormat="false" ht="15" hidden="false" customHeight="false" outlineLevel="0" collapsed="false">
      <c r="A161" s="16"/>
      <c r="B161" s="17"/>
      <c r="C161" s="18"/>
      <c r="D161" s="17"/>
      <c r="E161" s="17"/>
      <c r="F161" s="17"/>
      <c r="G161" s="17"/>
      <c r="H161" s="17"/>
      <c r="I161" s="19" t="str">
        <f aca="false">IF(A161="","",D161*(E161-F161))</f>
        <v/>
      </c>
      <c r="J161" s="19" t="str">
        <f aca="false">IF(A161="","",IFERROR(INDEX(设定!$B$5:$B$14,MATCH(C161,设定!$A$5:$A$14,0)),0))</f>
        <v/>
      </c>
      <c r="K161" s="20" t="str">
        <f aca="false">IF(A161="","",G161*J161/1000)</f>
        <v/>
      </c>
      <c r="L161" s="20" t="str">
        <f aca="false">IF(A161="","",I161*IFERROR(INDEX(设定!$C$5:$C$14,MATCH(C161,设定!$A$5:$A$14,0)),0))</f>
        <v/>
      </c>
      <c r="M161" s="21" t="str">
        <f aca="false">IF(A161="","",IF(L161&gt;0,K161/L161,0))</f>
        <v/>
      </c>
      <c r="N161" s="21" t="str">
        <f aca="false">IF(OR(A161="",H161=""),"",IF(J161&gt;0,(H161-J161)/J161,0))</f>
        <v/>
      </c>
      <c r="O161" s="22" t="str">
        <f aca="false">IF(OR(A161="",H161=""),"",IF(H161&lt;J161,"⚠ 低于标示",""))</f>
        <v/>
      </c>
      <c r="P161" s="19" t="n">
        <f aca="false">IF(OR(A161="",H161=""),0,G161*(H161-J161))</f>
        <v>0</v>
      </c>
      <c r="Q161" s="19" t="n">
        <f aca="false">IF(OR(A161="",H161=""),0,G161*J161)</f>
        <v>0</v>
      </c>
      <c r="R161" s="19" t="n">
        <f aca="false">IF(OR(A161="",H161=""),0,IF(H161&lt;J161,1,0))</f>
        <v>0</v>
      </c>
    </row>
    <row r="162" customFormat="false" ht="15" hidden="false" customHeight="false" outlineLevel="0" collapsed="false">
      <c r="A162" s="16"/>
      <c r="B162" s="17"/>
      <c r="C162" s="18"/>
      <c r="D162" s="17"/>
      <c r="E162" s="17"/>
      <c r="F162" s="17"/>
      <c r="G162" s="17"/>
      <c r="H162" s="17"/>
      <c r="I162" s="19" t="str">
        <f aca="false">IF(A162="","",D162*(E162-F162))</f>
        <v/>
      </c>
      <c r="J162" s="19" t="str">
        <f aca="false">IF(A162="","",IFERROR(INDEX(设定!$B$5:$B$14,MATCH(C162,设定!$A$5:$A$14,0)),0))</f>
        <v/>
      </c>
      <c r="K162" s="20" t="str">
        <f aca="false">IF(A162="","",G162*J162/1000)</f>
        <v/>
      </c>
      <c r="L162" s="20" t="str">
        <f aca="false">IF(A162="","",I162*IFERROR(INDEX(设定!$C$5:$C$14,MATCH(C162,设定!$A$5:$A$14,0)),0))</f>
        <v/>
      </c>
      <c r="M162" s="21" t="str">
        <f aca="false">IF(A162="","",IF(L162&gt;0,K162/L162,0))</f>
        <v/>
      </c>
      <c r="N162" s="21" t="str">
        <f aca="false">IF(OR(A162="",H162=""),"",IF(J162&gt;0,(H162-J162)/J162,0))</f>
        <v/>
      </c>
      <c r="O162" s="22" t="str">
        <f aca="false">IF(OR(A162="",H162=""),"",IF(H162&lt;J162,"⚠ 低于标示",""))</f>
        <v/>
      </c>
      <c r="P162" s="19" t="n">
        <f aca="false">IF(OR(A162="",H162=""),0,G162*(H162-J162))</f>
        <v>0</v>
      </c>
      <c r="Q162" s="19" t="n">
        <f aca="false">IF(OR(A162="",H162=""),0,G162*J162)</f>
        <v>0</v>
      </c>
      <c r="R162" s="19" t="n">
        <f aca="false">IF(OR(A162="",H162=""),0,IF(H162&lt;J162,1,0))</f>
        <v>0</v>
      </c>
    </row>
    <row r="163" customFormat="false" ht="15" hidden="false" customHeight="false" outlineLevel="0" collapsed="false">
      <c r="A163" s="16"/>
      <c r="B163" s="17"/>
      <c r="C163" s="18"/>
      <c r="D163" s="17"/>
      <c r="E163" s="17"/>
      <c r="F163" s="17"/>
      <c r="G163" s="17"/>
      <c r="H163" s="17"/>
      <c r="I163" s="19" t="str">
        <f aca="false">IF(A163="","",D163*(E163-F163))</f>
        <v/>
      </c>
      <c r="J163" s="19" t="str">
        <f aca="false">IF(A163="","",IFERROR(INDEX(设定!$B$5:$B$14,MATCH(C163,设定!$A$5:$A$14,0)),0))</f>
        <v/>
      </c>
      <c r="K163" s="20" t="str">
        <f aca="false">IF(A163="","",G163*J163/1000)</f>
        <v/>
      </c>
      <c r="L163" s="20" t="str">
        <f aca="false">IF(A163="","",I163*IFERROR(INDEX(设定!$C$5:$C$14,MATCH(C163,设定!$A$5:$A$14,0)),0))</f>
        <v/>
      </c>
      <c r="M163" s="21" t="str">
        <f aca="false">IF(A163="","",IF(L163&gt;0,K163/L163,0))</f>
        <v/>
      </c>
      <c r="N163" s="21" t="str">
        <f aca="false">IF(OR(A163="",H163=""),"",IF(J163&gt;0,(H163-J163)/J163,0))</f>
        <v/>
      </c>
      <c r="O163" s="22" t="str">
        <f aca="false">IF(OR(A163="",H163=""),"",IF(H163&lt;J163,"⚠ 低于标示",""))</f>
        <v/>
      </c>
      <c r="P163" s="19" t="n">
        <f aca="false">IF(OR(A163="",H163=""),0,G163*(H163-J163))</f>
        <v>0</v>
      </c>
      <c r="Q163" s="19" t="n">
        <f aca="false">IF(OR(A163="",H163=""),0,G163*J163)</f>
        <v>0</v>
      </c>
      <c r="R163" s="19" t="n">
        <f aca="false">IF(OR(A163="",H163=""),0,IF(H163&lt;J163,1,0))</f>
        <v>0</v>
      </c>
    </row>
    <row r="164" customFormat="false" ht="15" hidden="false" customHeight="false" outlineLevel="0" collapsed="false">
      <c r="A164" s="16"/>
      <c r="B164" s="17"/>
      <c r="C164" s="18"/>
      <c r="D164" s="17"/>
      <c r="E164" s="17"/>
      <c r="F164" s="17"/>
      <c r="G164" s="17"/>
      <c r="H164" s="17"/>
      <c r="I164" s="19" t="str">
        <f aca="false">IF(A164="","",D164*(E164-F164))</f>
        <v/>
      </c>
      <c r="J164" s="19" t="str">
        <f aca="false">IF(A164="","",IFERROR(INDEX(设定!$B$5:$B$14,MATCH(C164,设定!$A$5:$A$14,0)),0))</f>
        <v/>
      </c>
      <c r="K164" s="20" t="str">
        <f aca="false">IF(A164="","",G164*J164/1000)</f>
        <v/>
      </c>
      <c r="L164" s="20" t="str">
        <f aca="false">IF(A164="","",I164*IFERROR(INDEX(设定!$C$5:$C$14,MATCH(C164,设定!$A$5:$A$14,0)),0))</f>
        <v/>
      </c>
      <c r="M164" s="21" t="str">
        <f aca="false">IF(A164="","",IF(L164&gt;0,K164/L164,0))</f>
        <v/>
      </c>
      <c r="N164" s="21" t="str">
        <f aca="false">IF(OR(A164="",H164=""),"",IF(J164&gt;0,(H164-J164)/J164,0))</f>
        <v/>
      </c>
      <c r="O164" s="22" t="str">
        <f aca="false">IF(OR(A164="",H164=""),"",IF(H164&lt;J164,"⚠ 低于标示",""))</f>
        <v/>
      </c>
      <c r="P164" s="19" t="n">
        <f aca="false">IF(OR(A164="",H164=""),0,G164*(H164-J164))</f>
        <v>0</v>
      </c>
      <c r="Q164" s="19" t="n">
        <f aca="false">IF(OR(A164="",H164=""),0,G164*J164)</f>
        <v>0</v>
      </c>
      <c r="R164" s="19" t="n">
        <f aca="false">IF(OR(A164="",H164=""),0,IF(H164&lt;J164,1,0))</f>
        <v>0</v>
      </c>
    </row>
    <row r="165" customFormat="false" ht="15" hidden="false" customHeight="false" outlineLevel="0" collapsed="false">
      <c r="A165" s="16"/>
      <c r="B165" s="17"/>
      <c r="C165" s="18"/>
      <c r="D165" s="17"/>
      <c r="E165" s="17"/>
      <c r="F165" s="17"/>
      <c r="G165" s="17"/>
      <c r="H165" s="17"/>
      <c r="I165" s="19" t="str">
        <f aca="false">IF(A165="","",D165*(E165-F165))</f>
        <v/>
      </c>
      <c r="J165" s="19" t="str">
        <f aca="false">IF(A165="","",IFERROR(INDEX(设定!$B$5:$B$14,MATCH(C165,设定!$A$5:$A$14,0)),0))</f>
        <v/>
      </c>
      <c r="K165" s="20" t="str">
        <f aca="false">IF(A165="","",G165*J165/1000)</f>
        <v/>
      </c>
      <c r="L165" s="20" t="str">
        <f aca="false">IF(A165="","",I165*IFERROR(INDEX(设定!$C$5:$C$14,MATCH(C165,设定!$A$5:$A$14,0)),0))</f>
        <v/>
      </c>
      <c r="M165" s="21" t="str">
        <f aca="false">IF(A165="","",IF(L165&gt;0,K165/L165,0))</f>
        <v/>
      </c>
      <c r="N165" s="21" t="str">
        <f aca="false">IF(OR(A165="",H165=""),"",IF(J165&gt;0,(H165-J165)/J165,0))</f>
        <v/>
      </c>
      <c r="O165" s="22" t="str">
        <f aca="false">IF(OR(A165="",H165=""),"",IF(H165&lt;J165,"⚠ 低于标示",""))</f>
        <v/>
      </c>
      <c r="P165" s="19" t="n">
        <f aca="false">IF(OR(A165="",H165=""),0,G165*(H165-J165))</f>
        <v>0</v>
      </c>
      <c r="Q165" s="19" t="n">
        <f aca="false">IF(OR(A165="",H165=""),0,G165*J165)</f>
        <v>0</v>
      </c>
      <c r="R165" s="19" t="n">
        <f aca="false">IF(OR(A165="",H165=""),0,IF(H165&lt;J165,1,0))</f>
        <v>0</v>
      </c>
    </row>
    <row r="166" customFormat="false" ht="15" hidden="false" customHeight="false" outlineLevel="0" collapsed="false">
      <c r="A166" s="16"/>
      <c r="B166" s="17"/>
      <c r="C166" s="18"/>
      <c r="D166" s="17"/>
      <c r="E166" s="17"/>
      <c r="F166" s="17"/>
      <c r="G166" s="17"/>
      <c r="H166" s="17"/>
      <c r="I166" s="19" t="str">
        <f aca="false">IF(A166="","",D166*(E166-F166))</f>
        <v/>
      </c>
      <c r="J166" s="19" t="str">
        <f aca="false">IF(A166="","",IFERROR(INDEX(设定!$B$5:$B$14,MATCH(C166,设定!$A$5:$A$14,0)),0))</f>
        <v/>
      </c>
      <c r="K166" s="20" t="str">
        <f aca="false">IF(A166="","",G166*J166/1000)</f>
        <v/>
      </c>
      <c r="L166" s="20" t="str">
        <f aca="false">IF(A166="","",I166*IFERROR(INDEX(设定!$C$5:$C$14,MATCH(C166,设定!$A$5:$A$14,0)),0))</f>
        <v/>
      </c>
      <c r="M166" s="21" t="str">
        <f aca="false">IF(A166="","",IF(L166&gt;0,K166/L166,0))</f>
        <v/>
      </c>
      <c r="N166" s="21" t="str">
        <f aca="false">IF(OR(A166="",H166=""),"",IF(J166&gt;0,(H166-J166)/J166,0))</f>
        <v/>
      </c>
      <c r="O166" s="22" t="str">
        <f aca="false">IF(OR(A166="",H166=""),"",IF(H166&lt;J166,"⚠ 低于标示",""))</f>
        <v/>
      </c>
      <c r="P166" s="19" t="n">
        <f aca="false">IF(OR(A166="",H166=""),0,G166*(H166-J166))</f>
        <v>0</v>
      </c>
      <c r="Q166" s="19" t="n">
        <f aca="false">IF(OR(A166="",H166=""),0,G166*J166)</f>
        <v>0</v>
      </c>
      <c r="R166" s="19" t="n">
        <f aca="false">IF(OR(A166="",H166=""),0,IF(H166&lt;J166,1,0))</f>
        <v>0</v>
      </c>
    </row>
    <row r="167" customFormat="false" ht="15" hidden="false" customHeight="false" outlineLevel="0" collapsed="false">
      <c r="A167" s="16"/>
      <c r="B167" s="17"/>
      <c r="C167" s="18"/>
      <c r="D167" s="17"/>
      <c r="E167" s="17"/>
      <c r="F167" s="17"/>
      <c r="G167" s="17"/>
      <c r="H167" s="17"/>
      <c r="I167" s="19" t="str">
        <f aca="false">IF(A167="","",D167*(E167-F167))</f>
        <v/>
      </c>
      <c r="J167" s="19" t="str">
        <f aca="false">IF(A167="","",IFERROR(INDEX(设定!$B$5:$B$14,MATCH(C167,设定!$A$5:$A$14,0)),0))</f>
        <v/>
      </c>
      <c r="K167" s="20" t="str">
        <f aca="false">IF(A167="","",G167*J167/1000)</f>
        <v/>
      </c>
      <c r="L167" s="20" t="str">
        <f aca="false">IF(A167="","",I167*IFERROR(INDEX(设定!$C$5:$C$14,MATCH(C167,设定!$A$5:$A$14,0)),0))</f>
        <v/>
      </c>
      <c r="M167" s="21" t="str">
        <f aca="false">IF(A167="","",IF(L167&gt;0,K167/L167,0))</f>
        <v/>
      </c>
      <c r="N167" s="21" t="str">
        <f aca="false">IF(OR(A167="",H167=""),"",IF(J167&gt;0,(H167-J167)/J167,0))</f>
        <v/>
      </c>
      <c r="O167" s="22" t="str">
        <f aca="false">IF(OR(A167="",H167=""),"",IF(H167&lt;J167,"⚠ 低于标示",""))</f>
        <v/>
      </c>
      <c r="P167" s="19" t="n">
        <f aca="false">IF(OR(A167="",H167=""),0,G167*(H167-J167))</f>
        <v>0</v>
      </c>
      <c r="Q167" s="19" t="n">
        <f aca="false">IF(OR(A167="",H167=""),0,G167*J167)</f>
        <v>0</v>
      </c>
      <c r="R167" s="19" t="n">
        <f aca="false">IF(OR(A167="",H167=""),0,IF(H167&lt;J167,1,0))</f>
        <v>0</v>
      </c>
    </row>
    <row r="168" customFormat="false" ht="15" hidden="false" customHeight="false" outlineLevel="0" collapsed="false">
      <c r="A168" s="16"/>
      <c r="B168" s="17"/>
      <c r="C168" s="18"/>
      <c r="D168" s="17"/>
      <c r="E168" s="17"/>
      <c r="F168" s="17"/>
      <c r="G168" s="17"/>
      <c r="H168" s="17"/>
      <c r="I168" s="19" t="str">
        <f aca="false">IF(A168="","",D168*(E168-F168))</f>
        <v/>
      </c>
      <c r="J168" s="19" t="str">
        <f aca="false">IF(A168="","",IFERROR(INDEX(设定!$B$5:$B$14,MATCH(C168,设定!$A$5:$A$14,0)),0))</f>
        <v/>
      </c>
      <c r="K168" s="20" t="str">
        <f aca="false">IF(A168="","",G168*J168/1000)</f>
        <v/>
      </c>
      <c r="L168" s="20" t="str">
        <f aca="false">IF(A168="","",I168*IFERROR(INDEX(设定!$C$5:$C$14,MATCH(C168,设定!$A$5:$A$14,0)),0))</f>
        <v/>
      </c>
      <c r="M168" s="21" t="str">
        <f aca="false">IF(A168="","",IF(L168&gt;0,K168/L168,0))</f>
        <v/>
      </c>
      <c r="N168" s="21" t="str">
        <f aca="false">IF(OR(A168="",H168=""),"",IF(J168&gt;0,(H168-J168)/J168,0))</f>
        <v/>
      </c>
      <c r="O168" s="22" t="str">
        <f aca="false">IF(OR(A168="",H168=""),"",IF(H168&lt;J168,"⚠ 低于标示",""))</f>
        <v/>
      </c>
      <c r="P168" s="19" t="n">
        <f aca="false">IF(OR(A168="",H168=""),0,G168*(H168-J168))</f>
        <v>0</v>
      </c>
      <c r="Q168" s="19" t="n">
        <f aca="false">IF(OR(A168="",H168=""),0,G168*J168)</f>
        <v>0</v>
      </c>
      <c r="R168" s="19" t="n">
        <f aca="false">IF(OR(A168="",H168=""),0,IF(H168&lt;J168,1,0))</f>
        <v>0</v>
      </c>
    </row>
    <row r="169" customFormat="false" ht="15" hidden="false" customHeight="false" outlineLevel="0" collapsed="false">
      <c r="A169" s="16"/>
      <c r="B169" s="17"/>
      <c r="C169" s="18"/>
      <c r="D169" s="17"/>
      <c r="E169" s="17"/>
      <c r="F169" s="17"/>
      <c r="G169" s="17"/>
      <c r="H169" s="17"/>
      <c r="I169" s="19" t="str">
        <f aca="false">IF(A169="","",D169*(E169-F169))</f>
        <v/>
      </c>
      <c r="J169" s="19" t="str">
        <f aca="false">IF(A169="","",IFERROR(INDEX(设定!$B$5:$B$14,MATCH(C169,设定!$A$5:$A$14,0)),0))</f>
        <v/>
      </c>
      <c r="K169" s="20" t="str">
        <f aca="false">IF(A169="","",G169*J169/1000)</f>
        <v/>
      </c>
      <c r="L169" s="20" t="str">
        <f aca="false">IF(A169="","",I169*IFERROR(INDEX(设定!$C$5:$C$14,MATCH(C169,设定!$A$5:$A$14,0)),0))</f>
        <v/>
      </c>
      <c r="M169" s="21" t="str">
        <f aca="false">IF(A169="","",IF(L169&gt;0,K169/L169,0))</f>
        <v/>
      </c>
      <c r="N169" s="21" t="str">
        <f aca="false">IF(OR(A169="",H169=""),"",IF(J169&gt;0,(H169-J169)/J169,0))</f>
        <v/>
      </c>
      <c r="O169" s="22" t="str">
        <f aca="false">IF(OR(A169="",H169=""),"",IF(H169&lt;J169,"⚠ 低于标示",""))</f>
        <v/>
      </c>
      <c r="P169" s="19" t="n">
        <f aca="false">IF(OR(A169="",H169=""),0,G169*(H169-J169))</f>
        <v>0</v>
      </c>
      <c r="Q169" s="19" t="n">
        <f aca="false">IF(OR(A169="",H169=""),0,G169*J169)</f>
        <v>0</v>
      </c>
      <c r="R169" s="19" t="n">
        <f aca="false">IF(OR(A169="",H169=""),0,IF(H169&lt;J169,1,0))</f>
        <v>0</v>
      </c>
    </row>
    <row r="170" customFormat="false" ht="15" hidden="false" customHeight="false" outlineLevel="0" collapsed="false">
      <c r="A170" s="16"/>
      <c r="B170" s="17"/>
      <c r="C170" s="18"/>
      <c r="D170" s="17"/>
      <c r="E170" s="17"/>
      <c r="F170" s="17"/>
      <c r="G170" s="17"/>
      <c r="H170" s="17"/>
      <c r="I170" s="19" t="str">
        <f aca="false">IF(A170="","",D170*(E170-F170))</f>
        <v/>
      </c>
      <c r="J170" s="19" t="str">
        <f aca="false">IF(A170="","",IFERROR(INDEX(设定!$B$5:$B$14,MATCH(C170,设定!$A$5:$A$14,0)),0))</f>
        <v/>
      </c>
      <c r="K170" s="20" t="str">
        <f aca="false">IF(A170="","",G170*J170/1000)</f>
        <v/>
      </c>
      <c r="L170" s="20" t="str">
        <f aca="false">IF(A170="","",I170*IFERROR(INDEX(设定!$C$5:$C$14,MATCH(C170,设定!$A$5:$A$14,0)),0))</f>
        <v/>
      </c>
      <c r="M170" s="21" t="str">
        <f aca="false">IF(A170="","",IF(L170&gt;0,K170/L170,0))</f>
        <v/>
      </c>
      <c r="N170" s="21" t="str">
        <f aca="false">IF(OR(A170="",H170=""),"",IF(J170&gt;0,(H170-J170)/J170,0))</f>
        <v/>
      </c>
      <c r="O170" s="22" t="str">
        <f aca="false">IF(OR(A170="",H170=""),"",IF(H170&lt;J170,"⚠ 低于标示",""))</f>
        <v/>
      </c>
      <c r="P170" s="19" t="n">
        <f aca="false">IF(OR(A170="",H170=""),0,G170*(H170-J170))</f>
        <v>0</v>
      </c>
      <c r="Q170" s="19" t="n">
        <f aca="false">IF(OR(A170="",H170=""),0,G170*J170)</f>
        <v>0</v>
      </c>
      <c r="R170" s="19" t="n">
        <f aca="false">IF(OR(A170="",H170=""),0,IF(H170&lt;J170,1,0))</f>
        <v>0</v>
      </c>
    </row>
    <row r="171" customFormat="false" ht="15" hidden="false" customHeight="false" outlineLevel="0" collapsed="false">
      <c r="A171" s="16"/>
      <c r="B171" s="17"/>
      <c r="C171" s="18"/>
      <c r="D171" s="17"/>
      <c r="E171" s="17"/>
      <c r="F171" s="17"/>
      <c r="G171" s="17"/>
      <c r="H171" s="17"/>
      <c r="I171" s="19" t="str">
        <f aca="false">IF(A171="","",D171*(E171-F171))</f>
        <v/>
      </c>
      <c r="J171" s="19" t="str">
        <f aca="false">IF(A171="","",IFERROR(INDEX(设定!$B$5:$B$14,MATCH(C171,设定!$A$5:$A$14,0)),0))</f>
        <v/>
      </c>
      <c r="K171" s="20" t="str">
        <f aca="false">IF(A171="","",G171*J171/1000)</f>
        <v/>
      </c>
      <c r="L171" s="20" t="str">
        <f aca="false">IF(A171="","",I171*IFERROR(INDEX(设定!$C$5:$C$14,MATCH(C171,设定!$A$5:$A$14,0)),0))</f>
        <v/>
      </c>
      <c r="M171" s="21" t="str">
        <f aca="false">IF(A171="","",IF(L171&gt;0,K171/L171,0))</f>
        <v/>
      </c>
      <c r="N171" s="21" t="str">
        <f aca="false">IF(OR(A171="",H171=""),"",IF(J171&gt;0,(H171-J171)/J171,0))</f>
        <v/>
      </c>
      <c r="O171" s="22" t="str">
        <f aca="false">IF(OR(A171="",H171=""),"",IF(H171&lt;J171,"⚠ 低于标示",""))</f>
        <v/>
      </c>
      <c r="P171" s="19" t="n">
        <f aca="false">IF(OR(A171="",H171=""),0,G171*(H171-J171))</f>
        <v>0</v>
      </c>
      <c r="Q171" s="19" t="n">
        <f aca="false">IF(OR(A171="",H171=""),0,G171*J171)</f>
        <v>0</v>
      </c>
      <c r="R171" s="19" t="n">
        <f aca="false">IF(OR(A171="",H171=""),0,IF(H171&lt;J171,1,0))</f>
        <v>0</v>
      </c>
    </row>
    <row r="172" customFormat="false" ht="15" hidden="false" customHeight="false" outlineLevel="0" collapsed="false">
      <c r="A172" s="16"/>
      <c r="B172" s="17"/>
      <c r="C172" s="18"/>
      <c r="D172" s="17"/>
      <c r="E172" s="17"/>
      <c r="F172" s="17"/>
      <c r="G172" s="17"/>
      <c r="H172" s="17"/>
      <c r="I172" s="19" t="str">
        <f aca="false">IF(A172="","",D172*(E172-F172))</f>
        <v/>
      </c>
      <c r="J172" s="19" t="str">
        <f aca="false">IF(A172="","",IFERROR(INDEX(设定!$B$5:$B$14,MATCH(C172,设定!$A$5:$A$14,0)),0))</f>
        <v/>
      </c>
      <c r="K172" s="20" t="str">
        <f aca="false">IF(A172="","",G172*J172/1000)</f>
        <v/>
      </c>
      <c r="L172" s="20" t="str">
        <f aca="false">IF(A172="","",I172*IFERROR(INDEX(设定!$C$5:$C$14,MATCH(C172,设定!$A$5:$A$14,0)),0))</f>
        <v/>
      </c>
      <c r="M172" s="21" t="str">
        <f aca="false">IF(A172="","",IF(L172&gt;0,K172/L172,0))</f>
        <v/>
      </c>
      <c r="N172" s="21" t="str">
        <f aca="false">IF(OR(A172="",H172=""),"",IF(J172&gt;0,(H172-J172)/J172,0))</f>
        <v/>
      </c>
      <c r="O172" s="22" t="str">
        <f aca="false">IF(OR(A172="",H172=""),"",IF(H172&lt;J172,"⚠ 低于标示",""))</f>
        <v/>
      </c>
      <c r="P172" s="19" t="n">
        <f aca="false">IF(OR(A172="",H172=""),0,G172*(H172-J172))</f>
        <v>0</v>
      </c>
      <c r="Q172" s="19" t="n">
        <f aca="false">IF(OR(A172="",H172=""),0,G172*J172)</f>
        <v>0</v>
      </c>
      <c r="R172" s="19" t="n">
        <f aca="false">IF(OR(A172="",H172=""),0,IF(H172&lt;J172,1,0))</f>
        <v>0</v>
      </c>
    </row>
    <row r="173" customFormat="false" ht="15" hidden="false" customHeight="false" outlineLevel="0" collapsed="false">
      <c r="A173" s="16"/>
      <c r="B173" s="17"/>
      <c r="C173" s="18"/>
      <c r="D173" s="17"/>
      <c r="E173" s="17"/>
      <c r="F173" s="17"/>
      <c r="G173" s="17"/>
      <c r="H173" s="17"/>
      <c r="I173" s="19" t="str">
        <f aca="false">IF(A173="","",D173*(E173-F173))</f>
        <v/>
      </c>
      <c r="J173" s="19" t="str">
        <f aca="false">IF(A173="","",IFERROR(INDEX(设定!$B$5:$B$14,MATCH(C173,设定!$A$5:$A$14,0)),0))</f>
        <v/>
      </c>
      <c r="K173" s="20" t="str">
        <f aca="false">IF(A173="","",G173*J173/1000)</f>
        <v/>
      </c>
      <c r="L173" s="20" t="str">
        <f aca="false">IF(A173="","",I173*IFERROR(INDEX(设定!$C$5:$C$14,MATCH(C173,设定!$A$5:$A$14,0)),0))</f>
        <v/>
      </c>
      <c r="M173" s="21" t="str">
        <f aca="false">IF(A173="","",IF(L173&gt;0,K173/L173,0))</f>
        <v/>
      </c>
      <c r="N173" s="21" t="str">
        <f aca="false">IF(OR(A173="",H173=""),"",IF(J173&gt;0,(H173-J173)/J173,0))</f>
        <v/>
      </c>
      <c r="O173" s="22" t="str">
        <f aca="false">IF(OR(A173="",H173=""),"",IF(H173&lt;J173,"⚠ 低于标示",""))</f>
        <v/>
      </c>
      <c r="P173" s="19" t="n">
        <f aca="false">IF(OR(A173="",H173=""),0,G173*(H173-J173))</f>
        <v>0</v>
      </c>
      <c r="Q173" s="19" t="n">
        <f aca="false">IF(OR(A173="",H173=""),0,G173*J173)</f>
        <v>0</v>
      </c>
      <c r="R173" s="19" t="n">
        <f aca="false">IF(OR(A173="",H173=""),0,IF(H173&lt;J173,1,0))</f>
        <v>0</v>
      </c>
    </row>
    <row r="174" customFormat="false" ht="15" hidden="false" customHeight="false" outlineLevel="0" collapsed="false">
      <c r="A174" s="16"/>
      <c r="B174" s="17"/>
      <c r="C174" s="18"/>
      <c r="D174" s="17"/>
      <c r="E174" s="17"/>
      <c r="F174" s="17"/>
      <c r="G174" s="17"/>
      <c r="H174" s="17"/>
      <c r="I174" s="19" t="str">
        <f aca="false">IF(A174="","",D174*(E174-F174))</f>
        <v/>
      </c>
      <c r="J174" s="19" t="str">
        <f aca="false">IF(A174="","",IFERROR(INDEX(设定!$B$5:$B$14,MATCH(C174,设定!$A$5:$A$14,0)),0))</f>
        <v/>
      </c>
      <c r="K174" s="20" t="str">
        <f aca="false">IF(A174="","",G174*J174/1000)</f>
        <v/>
      </c>
      <c r="L174" s="20" t="str">
        <f aca="false">IF(A174="","",I174*IFERROR(INDEX(设定!$C$5:$C$14,MATCH(C174,设定!$A$5:$A$14,0)),0))</f>
        <v/>
      </c>
      <c r="M174" s="21" t="str">
        <f aca="false">IF(A174="","",IF(L174&gt;0,K174/L174,0))</f>
        <v/>
      </c>
      <c r="N174" s="21" t="str">
        <f aca="false">IF(OR(A174="",H174=""),"",IF(J174&gt;0,(H174-J174)/J174,0))</f>
        <v/>
      </c>
      <c r="O174" s="22" t="str">
        <f aca="false">IF(OR(A174="",H174=""),"",IF(H174&lt;J174,"⚠ 低于标示",""))</f>
        <v/>
      </c>
      <c r="P174" s="19" t="n">
        <f aca="false">IF(OR(A174="",H174=""),0,G174*(H174-J174))</f>
        <v>0</v>
      </c>
      <c r="Q174" s="19" t="n">
        <f aca="false">IF(OR(A174="",H174=""),0,G174*J174)</f>
        <v>0</v>
      </c>
      <c r="R174" s="19" t="n">
        <f aca="false">IF(OR(A174="",H174=""),0,IF(H174&lt;J174,1,0))</f>
        <v>0</v>
      </c>
    </row>
    <row r="175" customFormat="false" ht="15" hidden="false" customHeight="false" outlineLevel="0" collapsed="false">
      <c r="A175" s="16"/>
      <c r="B175" s="17"/>
      <c r="C175" s="18"/>
      <c r="D175" s="17"/>
      <c r="E175" s="17"/>
      <c r="F175" s="17"/>
      <c r="G175" s="17"/>
      <c r="H175" s="17"/>
      <c r="I175" s="19" t="str">
        <f aca="false">IF(A175="","",D175*(E175-F175))</f>
        <v/>
      </c>
      <c r="J175" s="19" t="str">
        <f aca="false">IF(A175="","",IFERROR(INDEX(设定!$B$5:$B$14,MATCH(C175,设定!$A$5:$A$14,0)),0))</f>
        <v/>
      </c>
      <c r="K175" s="20" t="str">
        <f aca="false">IF(A175="","",G175*J175/1000)</f>
        <v/>
      </c>
      <c r="L175" s="20" t="str">
        <f aca="false">IF(A175="","",I175*IFERROR(INDEX(设定!$C$5:$C$14,MATCH(C175,设定!$A$5:$A$14,0)),0))</f>
        <v/>
      </c>
      <c r="M175" s="21" t="str">
        <f aca="false">IF(A175="","",IF(L175&gt;0,K175/L175,0))</f>
        <v/>
      </c>
      <c r="N175" s="21" t="str">
        <f aca="false">IF(OR(A175="",H175=""),"",IF(J175&gt;0,(H175-J175)/J175,0))</f>
        <v/>
      </c>
      <c r="O175" s="22" t="str">
        <f aca="false">IF(OR(A175="",H175=""),"",IF(H175&lt;J175,"⚠ 低于标示",""))</f>
        <v/>
      </c>
      <c r="P175" s="19" t="n">
        <f aca="false">IF(OR(A175="",H175=""),0,G175*(H175-J175))</f>
        <v>0</v>
      </c>
      <c r="Q175" s="19" t="n">
        <f aca="false">IF(OR(A175="",H175=""),0,G175*J175)</f>
        <v>0</v>
      </c>
      <c r="R175" s="19" t="n">
        <f aca="false">IF(OR(A175="",H175=""),0,IF(H175&lt;J175,1,0))</f>
        <v>0</v>
      </c>
    </row>
    <row r="176" customFormat="false" ht="15" hidden="false" customHeight="false" outlineLevel="0" collapsed="false">
      <c r="A176" s="16"/>
      <c r="B176" s="17"/>
      <c r="C176" s="18"/>
      <c r="D176" s="17"/>
      <c r="E176" s="17"/>
      <c r="F176" s="17"/>
      <c r="G176" s="17"/>
      <c r="H176" s="17"/>
      <c r="I176" s="19" t="str">
        <f aca="false">IF(A176="","",D176*(E176-F176))</f>
        <v/>
      </c>
      <c r="J176" s="19" t="str">
        <f aca="false">IF(A176="","",IFERROR(INDEX(设定!$B$5:$B$14,MATCH(C176,设定!$A$5:$A$14,0)),0))</f>
        <v/>
      </c>
      <c r="K176" s="20" t="str">
        <f aca="false">IF(A176="","",G176*J176/1000)</f>
        <v/>
      </c>
      <c r="L176" s="20" t="str">
        <f aca="false">IF(A176="","",I176*IFERROR(INDEX(设定!$C$5:$C$14,MATCH(C176,设定!$A$5:$A$14,0)),0))</f>
        <v/>
      </c>
      <c r="M176" s="21" t="str">
        <f aca="false">IF(A176="","",IF(L176&gt;0,K176/L176,0))</f>
        <v/>
      </c>
      <c r="N176" s="21" t="str">
        <f aca="false">IF(OR(A176="",H176=""),"",IF(J176&gt;0,(H176-J176)/J176,0))</f>
        <v/>
      </c>
      <c r="O176" s="22" t="str">
        <f aca="false">IF(OR(A176="",H176=""),"",IF(H176&lt;J176,"⚠ 低于标示",""))</f>
        <v/>
      </c>
      <c r="P176" s="19" t="n">
        <f aca="false">IF(OR(A176="",H176=""),0,G176*(H176-J176))</f>
        <v>0</v>
      </c>
      <c r="Q176" s="19" t="n">
        <f aca="false">IF(OR(A176="",H176=""),0,G176*J176)</f>
        <v>0</v>
      </c>
      <c r="R176" s="19" t="n">
        <f aca="false">IF(OR(A176="",H176=""),0,IF(H176&lt;J176,1,0))</f>
        <v>0</v>
      </c>
    </row>
    <row r="177" customFormat="false" ht="15" hidden="false" customHeight="false" outlineLevel="0" collapsed="false">
      <c r="A177" s="16"/>
      <c r="B177" s="17"/>
      <c r="C177" s="18"/>
      <c r="D177" s="17"/>
      <c r="E177" s="17"/>
      <c r="F177" s="17"/>
      <c r="G177" s="17"/>
      <c r="H177" s="17"/>
      <c r="I177" s="19" t="str">
        <f aca="false">IF(A177="","",D177*(E177-F177))</f>
        <v/>
      </c>
      <c r="J177" s="19" t="str">
        <f aca="false">IF(A177="","",IFERROR(INDEX(设定!$B$5:$B$14,MATCH(C177,设定!$A$5:$A$14,0)),0))</f>
        <v/>
      </c>
      <c r="K177" s="20" t="str">
        <f aca="false">IF(A177="","",G177*J177/1000)</f>
        <v/>
      </c>
      <c r="L177" s="20" t="str">
        <f aca="false">IF(A177="","",I177*IFERROR(INDEX(设定!$C$5:$C$14,MATCH(C177,设定!$A$5:$A$14,0)),0))</f>
        <v/>
      </c>
      <c r="M177" s="21" t="str">
        <f aca="false">IF(A177="","",IF(L177&gt;0,K177/L177,0))</f>
        <v/>
      </c>
      <c r="N177" s="21" t="str">
        <f aca="false">IF(OR(A177="",H177=""),"",IF(J177&gt;0,(H177-J177)/J177,0))</f>
        <v/>
      </c>
      <c r="O177" s="22" t="str">
        <f aca="false">IF(OR(A177="",H177=""),"",IF(H177&lt;J177,"⚠ 低于标示",""))</f>
        <v/>
      </c>
      <c r="P177" s="19" t="n">
        <f aca="false">IF(OR(A177="",H177=""),0,G177*(H177-J177))</f>
        <v>0</v>
      </c>
      <c r="Q177" s="19" t="n">
        <f aca="false">IF(OR(A177="",H177=""),0,G177*J177)</f>
        <v>0</v>
      </c>
      <c r="R177" s="19" t="n">
        <f aca="false">IF(OR(A177="",H177=""),0,IF(H177&lt;J177,1,0))</f>
        <v>0</v>
      </c>
    </row>
    <row r="178" customFormat="false" ht="15" hidden="false" customHeight="false" outlineLevel="0" collapsed="false">
      <c r="A178" s="16"/>
      <c r="B178" s="17"/>
      <c r="C178" s="18"/>
      <c r="D178" s="17"/>
      <c r="E178" s="17"/>
      <c r="F178" s="17"/>
      <c r="G178" s="17"/>
      <c r="H178" s="17"/>
      <c r="I178" s="19" t="str">
        <f aca="false">IF(A178="","",D178*(E178-F178))</f>
        <v/>
      </c>
      <c r="J178" s="19" t="str">
        <f aca="false">IF(A178="","",IFERROR(INDEX(设定!$B$5:$B$14,MATCH(C178,设定!$A$5:$A$14,0)),0))</f>
        <v/>
      </c>
      <c r="K178" s="20" t="str">
        <f aca="false">IF(A178="","",G178*J178/1000)</f>
        <v/>
      </c>
      <c r="L178" s="20" t="str">
        <f aca="false">IF(A178="","",I178*IFERROR(INDEX(设定!$C$5:$C$14,MATCH(C178,设定!$A$5:$A$14,0)),0))</f>
        <v/>
      </c>
      <c r="M178" s="21" t="str">
        <f aca="false">IF(A178="","",IF(L178&gt;0,K178/L178,0))</f>
        <v/>
      </c>
      <c r="N178" s="21" t="str">
        <f aca="false">IF(OR(A178="",H178=""),"",IF(J178&gt;0,(H178-J178)/J178,0))</f>
        <v/>
      </c>
      <c r="O178" s="22" t="str">
        <f aca="false">IF(OR(A178="",H178=""),"",IF(H178&lt;J178,"⚠ 低于标示",""))</f>
        <v/>
      </c>
      <c r="P178" s="19" t="n">
        <f aca="false">IF(OR(A178="",H178=""),0,G178*(H178-J178))</f>
        <v>0</v>
      </c>
      <c r="Q178" s="19" t="n">
        <f aca="false">IF(OR(A178="",H178=""),0,G178*J178)</f>
        <v>0</v>
      </c>
      <c r="R178" s="19" t="n">
        <f aca="false">IF(OR(A178="",H178=""),0,IF(H178&lt;J178,1,0))</f>
        <v>0</v>
      </c>
    </row>
    <row r="179" customFormat="false" ht="15" hidden="false" customHeight="false" outlineLevel="0" collapsed="false">
      <c r="A179" s="16"/>
      <c r="B179" s="17"/>
      <c r="C179" s="18"/>
      <c r="D179" s="17"/>
      <c r="E179" s="17"/>
      <c r="F179" s="17"/>
      <c r="G179" s="17"/>
      <c r="H179" s="17"/>
      <c r="I179" s="19" t="str">
        <f aca="false">IF(A179="","",D179*(E179-F179))</f>
        <v/>
      </c>
      <c r="J179" s="19" t="str">
        <f aca="false">IF(A179="","",IFERROR(INDEX(设定!$B$5:$B$14,MATCH(C179,设定!$A$5:$A$14,0)),0))</f>
        <v/>
      </c>
      <c r="K179" s="20" t="str">
        <f aca="false">IF(A179="","",G179*J179/1000)</f>
        <v/>
      </c>
      <c r="L179" s="20" t="str">
        <f aca="false">IF(A179="","",I179*IFERROR(INDEX(设定!$C$5:$C$14,MATCH(C179,设定!$A$5:$A$14,0)),0))</f>
        <v/>
      </c>
      <c r="M179" s="21" t="str">
        <f aca="false">IF(A179="","",IF(L179&gt;0,K179/L179,0))</f>
        <v/>
      </c>
      <c r="N179" s="21" t="str">
        <f aca="false">IF(OR(A179="",H179=""),"",IF(J179&gt;0,(H179-J179)/J179,0))</f>
        <v/>
      </c>
      <c r="O179" s="22" t="str">
        <f aca="false">IF(OR(A179="",H179=""),"",IF(H179&lt;J179,"⚠ 低于标示",""))</f>
        <v/>
      </c>
      <c r="P179" s="19" t="n">
        <f aca="false">IF(OR(A179="",H179=""),0,G179*(H179-J179))</f>
        <v>0</v>
      </c>
      <c r="Q179" s="19" t="n">
        <f aca="false">IF(OR(A179="",H179=""),0,G179*J179)</f>
        <v>0</v>
      </c>
      <c r="R179" s="19" t="n">
        <f aca="false">IF(OR(A179="",H179=""),0,IF(H179&lt;J179,1,0))</f>
        <v>0</v>
      </c>
    </row>
    <row r="180" customFormat="false" ht="15" hidden="false" customHeight="false" outlineLevel="0" collapsed="false">
      <c r="A180" s="16"/>
      <c r="B180" s="17"/>
      <c r="C180" s="18"/>
      <c r="D180" s="17"/>
      <c r="E180" s="17"/>
      <c r="F180" s="17"/>
      <c r="G180" s="17"/>
      <c r="H180" s="17"/>
      <c r="I180" s="19" t="str">
        <f aca="false">IF(A180="","",D180*(E180-F180))</f>
        <v/>
      </c>
      <c r="J180" s="19" t="str">
        <f aca="false">IF(A180="","",IFERROR(INDEX(设定!$B$5:$B$14,MATCH(C180,设定!$A$5:$A$14,0)),0))</f>
        <v/>
      </c>
      <c r="K180" s="20" t="str">
        <f aca="false">IF(A180="","",G180*J180/1000)</f>
        <v/>
      </c>
      <c r="L180" s="20" t="str">
        <f aca="false">IF(A180="","",I180*IFERROR(INDEX(设定!$C$5:$C$14,MATCH(C180,设定!$A$5:$A$14,0)),0))</f>
        <v/>
      </c>
      <c r="M180" s="21" t="str">
        <f aca="false">IF(A180="","",IF(L180&gt;0,K180/L180,0))</f>
        <v/>
      </c>
      <c r="N180" s="21" t="str">
        <f aca="false">IF(OR(A180="",H180=""),"",IF(J180&gt;0,(H180-J180)/J180,0))</f>
        <v/>
      </c>
      <c r="O180" s="22" t="str">
        <f aca="false">IF(OR(A180="",H180=""),"",IF(H180&lt;J180,"⚠ 低于标示",""))</f>
        <v/>
      </c>
      <c r="P180" s="19" t="n">
        <f aca="false">IF(OR(A180="",H180=""),0,G180*(H180-J180))</f>
        <v>0</v>
      </c>
      <c r="Q180" s="19" t="n">
        <f aca="false">IF(OR(A180="",H180=""),0,G180*J180)</f>
        <v>0</v>
      </c>
      <c r="R180" s="19" t="n">
        <f aca="false">IF(OR(A180="",H180=""),0,IF(H180&lt;J180,1,0))</f>
        <v>0</v>
      </c>
    </row>
    <row r="181" customFormat="false" ht="15" hidden="false" customHeight="false" outlineLevel="0" collapsed="false">
      <c r="A181" s="16"/>
      <c r="B181" s="17"/>
      <c r="C181" s="18"/>
      <c r="D181" s="17"/>
      <c r="E181" s="17"/>
      <c r="F181" s="17"/>
      <c r="G181" s="17"/>
      <c r="H181" s="17"/>
      <c r="I181" s="19" t="str">
        <f aca="false">IF(A181="","",D181*(E181-F181))</f>
        <v/>
      </c>
      <c r="J181" s="19" t="str">
        <f aca="false">IF(A181="","",IFERROR(INDEX(设定!$B$5:$B$14,MATCH(C181,设定!$A$5:$A$14,0)),0))</f>
        <v/>
      </c>
      <c r="K181" s="20" t="str">
        <f aca="false">IF(A181="","",G181*J181/1000)</f>
        <v/>
      </c>
      <c r="L181" s="20" t="str">
        <f aca="false">IF(A181="","",I181*IFERROR(INDEX(设定!$C$5:$C$14,MATCH(C181,设定!$A$5:$A$14,0)),0))</f>
        <v/>
      </c>
      <c r="M181" s="21" t="str">
        <f aca="false">IF(A181="","",IF(L181&gt;0,K181/L181,0))</f>
        <v/>
      </c>
      <c r="N181" s="21" t="str">
        <f aca="false">IF(OR(A181="",H181=""),"",IF(J181&gt;0,(H181-J181)/J181,0))</f>
        <v/>
      </c>
      <c r="O181" s="22" t="str">
        <f aca="false">IF(OR(A181="",H181=""),"",IF(H181&lt;J181,"⚠ 低于标示",""))</f>
        <v/>
      </c>
      <c r="P181" s="19" t="n">
        <f aca="false">IF(OR(A181="",H181=""),0,G181*(H181-J181))</f>
        <v>0</v>
      </c>
      <c r="Q181" s="19" t="n">
        <f aca="false">IF(OR(A181="",H181=""),0,G181*J181)</f>
        <v>0</v>
      </c>
      <c r="R181" s="19" t="n">
        <f aca="false">IF(OR(A181="",H181=""),0,IF(H181&lt;J181,1,0))</f>
        <v>0</v>
      </c>
    </row>
    <row r="182" customFormat="false" ht="15" hidden="false" customHeight="false" outlineLevel="0" collapsed="false">
      <c r="A182" s="16"/>
      <c r="B182" s="17"/>
      <c r="C182" s="18"/>
      <c r="D182" s="17"/>
      <c r="E182" s="17"/>
      <c r="F182" s="17"/>
      <c r="G182" s="17"/>
      <c r="H182" s="17"/>
      <c r="I182" s="19" t="str">
        <f aca="false">IF(A182="","",D182*(E182-F182))</f>
        <v/>
      </c>
      <c r="J182" s="19" t="str">
        <f aca="false">IF(A182="","",IFERROR(INDEX(设定!$B$5:$B$14,MATCH(C182,设定!$A$5:$A$14,0)),0))</f>
        <v/>
      </c>
      <c r="K182" s="20" t="str">
        <f aca="false">IF(A182="","",G182*J182/1000)</f>
        <v/>
      </c>
      <c r="L182" s="20" t="str">
        <f aca="false">IF(A182="","",I182*IFERROR(INDEX(设定!$C$5:$C$14,MATCH(C182,设定!$A$5:$A$14,0)),0))</f>
        <v/>
      </c>
      <c r="M182" s="21" t="str">
        <f aca="false">IF(A182="","",IF(L182&gt;0,K182/L182,0))</f>
        <v/>
      </c>
      <c r="N182" s="21" t="str">
        <f aca="false">IF(OR(A182="",H182=""),"",IF(J182&gt;0,(H182-J182)/J182,0))</f>
        <v/>
      </c>
      <c r="O182" s="22" t="str">
        <f aca="false">IF(OR(A182="",H182=""),"",IF(H182&lt;J182,"⚠ 低于标示",""))</f>
        <v/>
      </c>
      <c r="P182" s="19" t="n">
        <f aca="false">IF(OR(A182="",H182=""),0,G182*(H182-J182))</f>
        <v>0</v>
      </c>
      <c r="Q182" s="19" t="n">
        <f aca="false">IF(OR(A182="",H182=""),0,G182*J182)</f>
        <v>0</v>
      </c>
      <c r="R182" s="19" t="n">
        <f aca="false">IF(OR(A182="",H182=""),0,IF(H182&lt;J182,1,0))</f>
        <v>0</v>
      </c>
    </row>
    <row r="183" customFormat="false" ht="15" hidden="false" customHeight="false" outlineLevel="0" collapsed="false">
      <c r="A183" s="16"/>
      <c r="B183" s="17"/>
      <c r="C183" s="18"/>
      <c r="D183" s="17"/>
      <c r="E183" s="17"/>
      <c r="F183" s="17"/>
      <c r="G183" s="17"/>
      <c r="H183" s="17"/>
      <c r="I183" s="19" t="str">
        <f aca="false">IF(A183="","",D183*(E183-F183))</f>
        <v/>
      </c>
      <c r="J183" s="19" t="str">
        <f aca="false">IF(A183="","",IFERROR(INDEX(设定!$B$5:$B$14,MATCH(C183,设定!$A$5:$A$14,0)),0))</f>
        <v/>
      </c>
      <c r="K183" s="20" t="str">
        <f aca="false">IF(A183="","",G183*J183/1000)</f>
        <v/>
      </c>
      <c r="L183" s="20" t="str">
        <f aca="false">IF(A183="","",I183*IFERROR(INDEX(设定!$C$5:$C$14,MATCH(C183,设定!$A$5:$A$14,0)),0))</f>
        <v/>
      </c>
      <c r="M183" s="21" t="str">
        <f aca="false">IF(A183="","",IF(L183&gt;0,K183/L183,0))</f>
        <v/>
      </c>
      <c r="N183" s="21" t="str">
        <f aca="false">IF(OR(A183="",H183=""),"",IF(J183&gt;0,(H183-J183)/J183,0))</f>
        <v/>
      </c>
      <c r="O183" s="22" t="str">
        <f aca="false">IF(OR(A183="",H183=""),"",IF(H183&lt;J183,"⚠ 低于标示",""))</f>
        <v/>
      </c>
      <c r="P183" s="19" t="n">
        <f aca="false">IF(OR(A183="",H183=""),0,G183*(H183-J183))</f>
        <v>0</v>
      </c>
      <c r="Q183" s="19" t="n">
        <f aca="false">IF(OR(A183="",H183=""),0,G183*J183)</f>
        <v>0</v>
      </c>
      <c r="R183" s="19" t="n">
        <f aca="false">IF(OR(A183="",H183=""),0,IF(H183&lt;J183,1,0))</f>
        <v>0</v>
      </c>
    </row>
    <row r="184" customFormat="false" ht="15" hidden="false" customHeight="false" outlineLevel="0" collapsed="false">
      <c r="A184" s="16"/>
      <c r="B184" s="17"/>
      <c r="C184" s="18"/>
      <c r="D184" s="17"/>
      <c r="E184" s="17"/>
      <c r="F184" s="17"/>
      <c r="G184" s="17"/>
      <c r="H184" s="17"/>
      <c r="I184" s="19" t="str">
        <f aca="false">IF(A184="","",D184*(E184-F184))</f>
        <v/>
      </c>
      <c r="J184" s="19" t="str">
        <f aca="false">IF(A184="","",IFERROR(INDEX(设定!$B$5:$B$14,MATCH(C184,设定!$A$5:$A$14,0)),0))</f>
        <v/>
      </c>
      <c r="K184" s="20" t="str">
        <f aca="false">IF(A184="","",G184*J184/1000)</f>
        <v/>
      </c>
      <c r="L184" s="20" t="str">
        <f aca="false">IF(A184="","",I184*IFERROR(INDEX(设定!$C$5:$C$14,MATCH(C184,设定!$A$5:$A$14,0)),0))</f>
        <v/>
      </c>
      <c r="M184" s="21" t="str">
        <f aca="false">IF(A184="","",IF(L184&gt;0,K184/L184,0))</f>
        <v/>
      </c>
      <c r="N184" s="21" t="str">
        <f aca="false">IF(OR(A184="",H184=""),"",IF(J184&gt;0,(H184-J184)/J184,0))</f>
        <v/>
      </c>
      <c r="O184" s="22" t="str">
        <f aca="false">IF(OR(A184="",H184=""),"",IF(H184&lt;J184,"⚠ 低于标示",""))</f>
        <v/>
      </c>
      <c r="P184" s="19" t="n">
        <f aca="false">IF(OR(A184="",H184=""),0,G184*(H184-J184))</f>
        <v>0</v>
      </c>
      <c r="Q184" s="19" t="n">
        <f aca="false">IF(OR(A184="",H184=""),0,G184*J184)</f>
        <v>0</v>
      </c>
      <c r="R184" s="19" t="n">
        <f aca="false">IF(OR(A184="",H184=""),0,IF(H184&lt;J184,1,0))</f>
        <v>0</v>
      </c>
    </row>
    <row r="185" customFormat="false" ht="15" hidden="false" customHeight="false" outlineLevel="0" collapsed="false">
      <c r="A185" s="16"/>
      <c r="B185" s="17"/>
      <c r="C185" s="18"/>
      <c r="D185" s="17"/>
      <c r="E185" s="17"/>
      <c r="F185" s="17"/>
      <c r="G185" s="17"/>
      <c r="H185" s="17"/>
      <c r="I185" s="19" t="str">
        <f aca="false">IF(A185="","",D185*(E185-F185))</f>
        <v/>
      </c>
      <c r="J185" s="19" t="str">
        <f aca="false">IF(A185="","",IFERROR(INDEX(设定!$B$5:$B$14,MATCH(C185,设定!$A$5:$A$14,0)),0))</f>
        <v/>
      </c>
      <c r="K185" s="20" t="str">
        <f aca="false">IF(A185="","",G185*J185/1000)</f>
        <v/>
      </c>
      <c r="L185" s="20" t="str">
        <f aca="false">IF(A185="","",I185*IFERROR(INDEX(设定!$C$5:$C$14,MATCH(C185,设定!$A$5:$A$14,0)),0))</f>
        <v/>
      </c>
      <c r="M185" s="21" t="str">
        <f aca="false">IF(A185="","",IF(L185&gt;0,K185/L185,0))</f>
        <v/>
      </c>
      <c r="N185" s="21" t="str">
        <f aca="false">IF(OR(A185="",H185=""),"",IF(J185&gt;0,(H185-J185)/J185,0))</f>
        <v/>
      </c>
      <c r="O185" s="22" t="str">
        <f aca="false">IF(OR(A185="",H185=""),"",IF(H185&lt;J185,"⚠ 低于标示",""))</f>
        <v/>
      </c>
      <c r="P185" s="19" t="n">
        <f aca="false">IF(OR(A185="",H185=""),0,G185*(H185-J185))</f>
        <v>0</v>
      </c>
      <c r="Q185" s="19" t="n">
        <f aca="false">IF(OR(A185="",H185=""),0,G185*J185)</f>
        <v>0</v>
      </c>
      <c r="R185" s="19" t="n">
        <f aca="false">IF(OR(A185="",H185=""),0,IF(H185&lt;J185,1,0))</f>
        <v>0</v>
      </c>
    </row>
    <row r="186" customFormat="false" ht="15" hidden="false" customHeight="false" outlineLevel="0" collapsed="false">
      <c r="A186" s="16"/>
      <c r="B186" s="17"/>
      <c r="C186" s="18"/>
      <c r="D186" s="17"/>
      <c r="E186" s="17"/>
      <c r="F186" s="17"/>
      <c r="G186" s="17"/>
      <c r="H186" s="17"/>
      <c r="I186" s="19" t="str">
        <f aca="false">IF(A186="","",D186*(E186-F186))</f>
        <v/>
      </c>
      <c r="J186" s="19" t="str">
        <f aca="false">IF(A186="","",IFERROR(INDEX(设定!$B$5:$B$14,MATCH(C186,设定!$A$5:$A$14,0)),0))</f>
        <v/>
      </c>
      <c r="K186" s="20" t="str">
        <f aca="false">IF(A186="","",G186*J186/1000)</f>
        <v/>
      </c>
      <c r="L186" s="20" t="str">
        <f aca="false">IF(A186="","",I186*IFERROR(INDEX(设定!$C$5:$C$14,MATCH(C186,设定!$A$5:$A$14,0)),0))</f>
        <v/>
      </c>
      <c r="M186" s="21" t="str">
        <f aca="false">IF(A186="","",IF(L186&gt;0,K186/L186,0))</f>
        <v/>
      </c>
      <c r="N186" s="21" t="str">
        <f aca="false">IF(OR(A186="",H186=""),"",IF(J186&gt;0,(H186-J186)/J186,0))</f>
        <v/>
      </c>
      <c r="O186" s="22" t="str">
        <f aca="false">IF(OR(A186="",H186=""),"",IF(H186&lt;J186,"⚠ 低于标示",""))</f>
        <v/>
      </c>
      <c r="P186" s="19" t="n">
        <f aca="false">IF(OR(A186="",H186=""),0,G186*(H186-J186))</f>
        <v>0</v>
      </c>
      <c r="Q186" s="19" t="n">
        <f aca="false">IF(OR(A186="",H186=""),0,G186*J186)</f>
        <v>0</v>
      </c>
      <c r="R186" s="19" t="n">
        <f aca="false">IF(OR(A186="",H186=""),0,IF(H186&lt;J186,1,0))</f>
        <v>0</v>
      </c>
    </row>
    <row r="187" customFormat="false" ht="15" hidden="false" customHeight="false" outlineLevel="0" collapsed="false">
      <c r="A187" s="16"/>
      <c r="B187" s="17"/>
      <c r="C187" s="18"/>
      <c r="D187" s="17"/>
      <c r="E187" s="17"/>
      <c r="F187" s="17"/>
      <c r="G187" s="17"/>
      <c r="H187" s="17"/>
      <c r="I187" s="19" t="str">
        <f aca="false">IF(A187="","",D187*(E187-F187))</f>
        <v/>
      </c>
      <c r="J187" s="19" t="str">
        <f aca="false">IF(A187="","",IFERROR(INDEX(设定!$B$5:$B$14,MATCH(C187,设定!$A$5:$A$14,0)),0))</f>
        <v/>
      </c>
      <c r="K187" s="20" t="str">
        <f aca="false">IF(A187="","",G187*J187/1000)</f>
        <v/>
      </c>
      <c r="L187" s="20" t="str">
        <f aca="false">IF(A187="","",I187*IFERROR(INDEX(设定!$C$5:$C$14,MATCH(C187,设定!$A$5:$A$14,0)),0))</f>
        <v/>
      </c>
      <c r="M187" s="21" t="str">
        <f aca="false">IF(A187="","",IF(L187&gt;0,K187/L187,0))</f>
        <v/>
      </c>
      <c r="N187" s="21" t="str">
        <f aca="false">IF(OR(A187="",H187=""),"",IF(J187&gt;0,(H187-J187)/J187,0))</f>
        <v/>
      </c>
      <c r="O187" s="22" t="str">
        <f aca="false">IF(OR(A187="",H187=""),"",IF(H187&lt;J187,"⚠ 低于标示",""))</f>
        <v/>
      </c>
      <c r="P187" s="19" t="n">
        <f aca="false">IF(OR(A187="",H187=""),0,G187*(H187-J187))</f>
        <v>0</v>
      </c>
      <c r="Q187" s="19" t="n">
        <f aca="false">IF(OR(A187="",H187=""),0,G187*J187)</f>
        <v>0</v>
      </c>
      <c r="R187" s="19" t="n">
        <f aca="false">IF(OR(A187="",H187=""),0,IF(H187&lt;J187,1,0))</f>
        <v>0</v>
      </c>
    </row>
    <row r="188" customFormat="false" ht="15" hidden="false" customHeight="false" outlineLevel="0" collapsed="false">
      <c r="A188" s="16"/>
      <c r="B188" s="17"/>
      <c r="C188" s="18"/>
      <c r="D188" s="17"/>
      <c r="E188" s="17"/>
      <c r="F188" s="17"/>
      <c r="G188" s="17"/>
      <c r="H188" s="17"/>
      <c r="I188" s="19" t="str">
        <f aca="false">IF(A188="","",D188*(E188-F188))</f>
        <v/>
      </c>
      <c r="J188" s="19" t="str">
        <f aca="false">IF(A188="","",IFERROR(INDEX(设定!$B$5:$B$14,MATCH(C188,设定!$A$5:$A$14,0)),0))</f>
        <v/>
      </c>
      <c r="K188" s="20" t="str">
        <f aca="false">IF(A188="","",G188*J188/1000)</f>
        <v/>
      </c>
      <c r="L188" s="20" t="str">
        <f aca="false">IF(A188="","",I188*IFERROR(INDEX(设定!$C$5:$C$14,MATCH(C188,设定!$A$5:$A$14,0)),0))</f>
        <v/>
      </c>
      <c r="M188" s="21" t="str">
        <f aca="false">IF(A188="","",IF(L188&gt;0,K188/L188,0))</f>
        <v/>
      </c>
      <c r="N188" s="21" t="str">
        <f aca="false">IF(OR(A188="",H188=""),"",IF(J188&gt;0,(H188-J188)/J188,0))</f>
        <v/>
      </c>
      <c r="O188" s="22" t="str">
        <f aca="false">IF(OR(A188="",H188=""),"",IF(H188&lt;J188,"⚠ 低于标示",""))</f>
        <v/>
      </c>
      <c r="P188" s="19" t="n">
        <f aca="false">IF(OR(A188="",H188=""),0,G188*(H188-J188))</f>
        <v>0</v>
      </c>
      <c r="Q188" s="19" t="n">
        <f aca="false">IF(OR(A188="",H188=""),0,G188*J188)</f>
        <v>0</v>
      </c>
      <c r="R188" s="19" t="n">
        <f aca="false">IF(OR(A188="",H188=""),0,IF(H188&lt;J188,1,0))</f>
        <v>0</v>
      </c>
    </row>
    <row r="189" customFormat="false" ht="15" hidden="false" customHeight="false" outlineLevel="0" collapsed="false">
      <c r="A189" s="16"/>
      <c r="B189" s="17"/>
      <c r="C189" s="18"/>
      <c r="D189" s="17"/>
      <c r="E189" s="17"/>
      <c r="F189" s="17"/>
      <c r="G189" s="17"/>
      <c r="H189" s="17"/>
      <c r="I189" s="19" t="str">
        <f aca="false">IF(A189="","",D189*(E189-F189))</f>
        <v/>
      </c>
      <c r="J189" s="19" t="str">
        <f aca="false">IF(A189="","",IFERROR(INDEX(设定!$B$5:$B$14,MATCH(C189,设定!$A$5:$A$14,0)),0))</f>
        <v/>
      </c>
      <c r="K189" s="20" t="str">
        <f aca="false">IF(A189="","",G189*J189/1000)</f>
        <v/>
      </c>
      <c r="L189" s="20" t="str">
        <f aca="false">IF(A189="","",I189*IFERROR(INDEX(设定!$C$5:$C$14,MATCH(C189,设定!$A$5:$A$14,0)),0))</f>
        <v/>
      </c>
      <c r="M189" s="21" t="str">
        <f aca="false">IF(A189="","",IF(L189&gt;0,K189/L189,0))</f>
        <v/>
      </c>
      <c r="N189" s="21" t="str">
        <f aca="false">IF(OR(A189="",H189=""),"",IF(J189&gt;0,(H189-J189)/J189,0))</f>
        <v/>
      </c>
      <c r="O189" s="22" t="str">
        <f aca="false">IF(OR(A189="",H189=""),"",IF(H189&lt;J189,"⚠ 低于标示",""))</f>
        <v/>
      </c>
      <c r="P189" s="19" t="n">
        <f aca="false">IF(OR(A189="",H189=""),0,G189*(H189-J189))</f>
        <v>0</v>
      </c>
      <c r="Q189" s="19" t="n">
        <f aca="false">IF(OR(A189="",H189=""),0,G189*J189)</f>
        <v>0</v>
      </c>
      <c r="R189" s="19" t="n">
        <f aca="false">IF(OR(A189="",H189=""),0,IF(H189&lt;J189,1,0))</f>
        <v>0</v>
      </c>
    </row>
    <row r="190" customFormat="false" ht="15" hidden="false" customHeight="false" outlineLevel="0" collapsed="false">
      <c r="A190" s="16"/>
      <c r="B190" s="17"/>
      <c r="C190" s="18"/>
      <c r="D190" s="17"/>
      <c r="E190" s="17"/>
      <c r="F190" s="17"/>
      <c r="G190" s="17"/>
      <c r="H190" s="17"/>
      <c r="I190" s="19" t="str">
        <f aca="false">IF(A190="","",D190*(E190-F190))</f>
        <v/>
      </c>
      <c r="J190" s="19" t="str">
        <f aca="false">IF(A190="","",IFERROR(INDEX(设定!$B$5:$B$14,MATCH(C190,设定!$A$5:$A$14,0)),0))</f>
        <v/>
      </c>
      <c r="K190" s="20" t="str">
        <f aca="false">IF(A190="","",G190*J190/1000)</f>
        <v/>
      </c>
      <c r="L190" s="20" t="str">
        <f aca="false">IF(A190="","",I190*IFERROR(INDEX(设定!$C$5:$C$14,MATCH(C190,设定!$A$5:$A$14,0)),0))</f>
        <v/>
      </c>
      <c r="M190" s="21" t="str">
        <f aca="false">IF(A190="","",IF(L190&gt;0,K190/L190,0))</f>
        <v/>
      </c>
      <c r="N190" s="21" t="str">
        <f aca="false">IF(OR(A190="",H190=""),"",IF(J190&gt;0,(H190-J190)/J190,0))</f>
        <v/>
      </c>
      <c r="O190" s="22" t="str">
        <f aca="false">IF(OR(A190="",H190=""),"",IF(H190&lt;J190,"⚠ 低于标示",""))</f>
        <v/>
      </c>
      <c r="P190" s="19" t="n">
        <f aca="false">IF(OR(A190="",H190=""),0,G190*(H190-J190))</f>
        <v>0</v>
      </c>
      <c r="Q190" s="19" t="n">
        <f aca="false">IF(OR(A190="",H190=""),0,G190*J190)</f>
        <v>0</v>
      </c>
      <c r="R190" s="19" t="n">
        <f aca="false">IF(OR(A190="",H190=""),0,IF(H190&lt;J190,1,0))</f>
        <v>0</v>
      </c>
    </row>
    <row r="191" customFormat="false" ht="15" hidden="false" customHeight="false" outlineLevel="0" collapsed="false">
      <c r="A191" s="16"/>
      <c r="B191" s="17"/>
      <c r="C191" s="18"/>
      <c r="D191" s="17"/>
      <c r="E191" s="17"/>
      <c r="F191" s="17"/>
      <c r="G191" s="17"/>
      <c r="H191" s="17"/>
      <c r="I191" s="19" t="str">
        <f aca="false">IF(A191="","",D191*(E191-F191))</f>
        <v/>
      </c>
      <c r="J191" s="19" t="str">
        <f aca="false">IF(A191="","",IFERROR(INDEX(设定!$B$5:$B$14,MATCH(C191,设定!$A$5:$A$14,0)),0))</f>
        <v/>
      </c>
      <c r="K191" s="20" t="str">
        <f aca="false">IF(A191="","",G191*J191/1000)</f>
        <v/>
      </c>
      <c r="L191" s="20" t="str">
        <f aca="false">IF(A191="","",I191*IFERROR(INDEX(设定!$C$5:$C$14,MATCH(C191,设定!$A$5:$A$14,0)),0))</f>
        <v/>
      </c>
      <c r="M191" s="21" t="str">
        <f aca="false">IF(A191="","",IF(L191&gt;0,K191/L191,0))</f>
        <v/>
      </c>
      <c r="N191" s="21" t="str">
        <f aca="false">IF(OR(A191="",H191=""),"",IF(J191&gt;0,(H191-J191)/J191,0))</f>
        <v/>
      </c>
      <c r="O191" s="22" t="str">
        <f aca="false">IF(OR(A191="",H191=""),"",IF(H191&lt;J191,"⚠ 低于标示",""))</f>
        <v/>
      </c>
      <c r="P191" s="19" t="n">
        <f aca="false">IF(OR(A191="",H191=""),0,G191*(H191-J191))</f>
        <v>0</v>
      </c>
      <c r="Q191" s="19" t="n">
        <f aca="false">IF(OR(A191="",H191=""),0,G191*J191)</f>
        <v>0</v>
      </c>
      <c r="R191" s="19" t="n">
        <f aca="false">IF(OR(A191="",H191=""),0,IF(H191&lt;J191,1,0))</f>
        <v>0</v>
      </c>
    </row>
    <row r="192" customFormat="false" ht="15" hidden="false" customHeight="false" outlineLevel="0" collapsed="false">
      <c r="A192" s="16"/>
      <c r="B192" s="17"/>
      <c r="C192" s="18"/>
      <c r="D192" s="17"/>
      <c r="E192" s="17"/>
      <c r="F192" s="17"/>
      <c r="G192" s="17"/>
      <c r="H192" s="17"/>
      <c r="I192" s="19" t="str">
        <f aca="false">IF(A192="","",D192*(E192-F192))</f>
        <v/>
      </c>
      <c r="J192" s="19" t="str">
        <f aca="false">IF(A192="","",IFERROR(INDEX(设定!$B$5:$B$14,MATCH(C192,设定!$A$5:$A$14,0)),0))</f>
        <v/>
      </c>
      <c r="K192" s="20" t="str">
        <f aca="false">IF(A192="","",G192*J192/1000)</f>
        <v/>
      </c>
      <c r="L192" s="20" t="str">
        <f aca="false">IF(A192="","",I192*IFERROR(INDEX(设定!$C$5:$C$14,MATCH(C192,设定!$A$5:$A$14,0)),0))</f>
        <v/>
      </c>
      <c r="M192" s="21" t="str">
        <f aca="false">IF(A192="","",IF(L192&gt;0,K192/L192,0))</f>
        <v/>
      </c>
      <c r="N192" s="21" t="str">
        <f aca="false">IF(OR(A192="",H192=""),"",IF(J192&gt;0,(H192-J192)/J192,0))</f>
        <v/>
      </c>
      <c r="O192" s="22" t="str">
        <f aca="false">IF(OR(A192="",H192=""),"",IF(H192&lt;J192,"⚠ 低于标示",""))</f>
        <v/>
      </c>
      <c r="P192" s="19" t="n">
        <f aca="false">IF(OR(A192="",H192=""),0,G192*(H192-J192))</f>
        <v>0</v>
      </c>
      <c r="Q192" s="19" t="n">
        <f aca="false">IF(OR(A192="",H192=""),0,G192*J192)</f>
        <v>0</v>
      </c>
      <c r="R192" s="19" t="n">
        <f aca="false">IF(OR(A192="",H192=""),0,IF(H192&lt;J192,1,0))</f>
        <v>0</v>
      </c>
    </row>
    <row r="193" customFormat="false" ht="15" hidden="false" customHeight="false" outlineLevel="0" collapsed="false">
      <c r="A193" s="16"/>
      <c r="B193" s="17"/>
      <c r="C193" s="18"/>
      <c r="D193" s="17"/>
      <c r="E193" s="17"/>
      <c r="F193" s="17"/>
      <c r="G193" s="17"/>
      <c r="H193" s="17"/>
      <c r="I193" s="19" t="str">
        <f aca="false">IF(A193="","",D193*(E193-F193))</f>
        <v/>
      </c>
      <c r="J193" s="19" t="str">
        <f aca="false">IF(A193="","",IFERROR(INDEX(设定!$B$5:$B$14,MATCH(C193,设定!$A$5:$A$14,0)),0))</f>
        <v/>
      </c>
      <c r="K193" s="20" t="str">
        <f aca="false">IF(A193="","",G193*J193/1000)</f>
        <v/>
      </c>
      <c r="L193" s="20" t="str">
        <f aca="false">IF(A193="","",I193*IFERROR(INDEX(设定!$C$5:$C$14,MATCH(C193,设定!$A$5:$A$14,0)),0))</f>
        <v/>
      </c>
      <c r="M193" s="21" t="str">
        <f aca="false">IF(A193="","",IF(L193&gt;0,K193/L193,0))</f>
        <v/>
      </c>
      <c r="N193" s="21" t="str">
        <f aca="false">IF(OR(A193="",H193=""),"",IF(J193&gt;0,(H193-J193)/J193,0))</f>
        <v/>
      </c>
      <c r="O193" s="22" t="str">
        <f aca="false">IF(OR(A193="",H193=""),"",IF(H193&lt;J193,"⚠ 低于标示",""))</f>
        <v/>
      </c>
      <c r="P193" s="19" t="n">
        <f aca="false">IF(OR(A193="",H193=""),0,G193*(H193-J193))</f>
        <v>0</v>
      </c>
      <c r="Q193" s="19" t="n">
        <f aca="false">IF(OR(A193="",H193=""),0,G193*J193)</f>
        <v>0</v>
      </c>
      <c r="R193" s="19" t="n">
        <f aca="false">IF(OR(A193="",H193=""),0,IF(H193&lt;J193,1,0))</f>
        <v>0</v>
      </c>
    </row>
    <row r="194" customFormat="false" ht="15" hidden="false" customHeight="false" outlineLevel="0" collapsed="false">
      <c r="A194" s="16"/>
      <c r="B194" s="17"/>
      <c r="C194" s="18"/>
      <c r="D194" s="17"/>
      <c r="E194" s="17"/>
      <c r="F194" s="17"/>
      <c r="G194" s="17"/>
      <c r="H194" s="17"/>
      <c r="I194" s="19" t="str">
        <f aca="false">IF(A194="","",D194*(E194-F194))</f>
        <v/>
      </c>
      <c r="J194" s="19" t="str">
        <f aca="false">IF(A194="","",IFERROR(INDEX(设定!$B$5:$B$14,MATCH(C194,设定!$A$5:$A$14,0)),0))</f>
        <v/>
      </c>
      <c r="K194" s="20" t="str">
        <f aca="false">IF(A194="","",G194*J194/1000)</f>
        <v/>
      </c>
      <c r="L194" s="20" t="str">
        <f aca="false">IF(A194="","",I194*IFERROR(INDEX(设定!$C$5:$C$14,MATCH(C194,设定!$A$5:$A$14,0)),0))</f>
        <v/>
      </c>
      <c r="M194" s="21" t="str">
        <f aca="false">IF(A194="","",IF(L194&gt;0,K194/L194,0))</f>
        <v/>
      </c>
      <c r="N194" s="21" t="str">
        <f aca="false">IF(OR(A194="",H194=""),"",IF(J194&gt;0,(H194-J194)/J194,0))</f>
        <v/>
      </c>
      <c r="O194" s="22" t="str">
        <f aca="false">IF(OR(A194="",H194=""),"",IF(H194&lt;J194,"⚠ 低于标示",""))</f>
        <v/>
      </c>
      <c r="P194" s="19" t="n">
        <f aca="false">IF(OR(A194="",H194=""),0,G194*(H194-J194))</f>
        <v>0</v>
      </c>
      <c r="Q194" s="19" t="n">
        <f aca="false">IF(OR(A194="",H194=""),0,G194*J194)</f>
        <v>0</v>
      </c>
      <c r="R194" s="19" t="n">
        <f aca="false">IF(OR(A194="",H194=""),0,IF(H194&lt;J194,1,0))</f>
        <v>0</v>
      </c>
    </row>
    <row r="195" customFormat="false" ht="15" hidden="false" customHeight="false" outlineLevel="0" collapsed="false">
      <c r="A195" s="16"/>
      <c r="B195" s="17"/>
      <c r="C195" s="18"/>
      <c r="D195" s="17"/>
      <c r="E195" s="17"/>
      <c r="F195" s="17"/>
      <c r="G195" s="17"/>
      <c r="H195" s="17"/>
      <c r="I195" s="19" t="str">
        <f aca="false">IF(A195="","",D195*(E195-F195))</f>
        <v/>
      </c>
      <c r="J195" s="19" t="str">
        <f aca="false">IF(A195="","",IFERROR(INDEX(设定!$B$5:$B$14,MATCH(C195,设定!$A$5:$A$14,0)),0))</f>
        <v/>
      </c>
      <c r="K195" s="20" t="str">
        <f aca="false">IF(A195="","",G195*J195/1000)</f>
        <v/>
      </c>
      <c r="L195" s="20" t="str">
        <f aca="false">IF(A195="","",I195*IFERROR(INDEX(设定!$C$5:$C$14,MATCH(C195,设定!$A$5:$A$14,0)),0))</f>
        <v/>
      </c>
      <c r="M195" s="21" t="str">
        <f aca="false">IF(A195="","",IF(L195&gt;0,K195/L195,0))</f>
        <v/>
      </c>
      <c r="N195" s="21" t="str">
        <f aca="false">IF(OR(A195="",H195=""),"",IF(J195&gt;0,(H195-J195)/J195,0))</f>
        <v/>
      </c>
      <c r="O195" s="22" t="str">
        <f aca="false">IF(OR(A195="",H195=""),"",IF(H195&lt;J195,"⚠ 低于标示",""))</f>
        <v/>
      </c>
      <c r="P195" s="19" t="n">
        <f aca="false">IF(OR(A195="",H195=""),0,G195*(H195-J195))</f>
        <v>0</v>
      </c>
      <c r="Q195" s="19" t="n">
        <f aca="false">IF(OR(A195="",H195=""),0,G195*J195)</f>
        <v>0</v>
      </c>
      <c r="R195" s="19" t="n">
        <f aca="false">IF(OR(A195="",H195=""),0,IF(H195&lt;J195,1,0))</f>
        <v>0</v>
      </c>
    </row>
    <row r="196" customFormat="false" ht="15" hidden="false" customHeight="false" outlineLevel="0" collapsed="false">
      <c r="A196" s="16"/>
      <c r="B196" s="17"/>
      <c r="C196" s="18"/>
      <c r="D196" s="17"/>
      <c r="E196" s="17"/>
      <c r="F196" s="17"/>
      <c r="G196" s="17"/>
      <c r="H196" s="17"/>
      <c r="I196" s="19" t="str">
        <f aca="false">IF(A196="","",D196*(E196-F196))</f>
        <v/>
      </c>
      <c r="J196" s="19" t="str">
        <f aca="false">IF(A196="","",IFERROR(INDEX(设定!$B$5:$B$14,MATCH(C196,设定!$A$5:$A$14,0)),0))</f>
        <v/>
      </c>
      <c r="K196" s="20" t="str">
        <f aca="false">IF(A196="","",G196*J196/1000)</f>
        <v/>
      </c>
      <c r="L196" s="20" t="str">
        <f aca="false">IF(A196="","",I196*IFERROR(INDEX(设定!$C$5:$C$14,MATCH(C196,设定!$A$5:$A$14,0)),0))</f>
        <v/>
      </c>
      <c r="M196" s="21" t="str">
        <f aca="false">IF(A196="","",IF(L196&gt;0,K196/L196,0))</f>
        <v/>
      </c>
      <c r="N196" s="21" t="str">
        <f aca="false">IF(OR(A196="",H196=""),"",IF(J196&gt;0,(H196-J196)/J196,0))</f>
        <v/>
      </c>
      <c r="O196" s="22" t="str">
        <f aca="false">IF(OR(A196="",H196=""),"",IF(H196&lt;J196,"⚠ 低于标示",""))</f>
        <v/>
      </c>
      <c r="P196" s="19" t="n">
        <f aca="false">IF(OR(A196="",H196=""),0,G196*(H196-J196))</f>
        <v>0</v>
      </c>
      <c r="Q196" s="19" t="n">
        <f aca="false">IF(OR(A196="",H196=""),0,G196*J196)</f>
        <v>0</v>
      </c>
      <c r="R196" s="19" t="n">
        <f aca="false">IF(OR(A196="",H196=""),0,IF(H196&lt;J196,1,0))</f>
        <v>0</v>
      </c>
    </row>
    <row r="197" customFormat="false" ht="15" hidden="false" customHeight="false" outlineLevel="0" collapsed="false">
      <c r="A197" s="16"/>
      <c r="B197" s="17"/>
      <c r="C197" s="18"/>
      <c r="D197" s="17"/>
      <c r="E197" s="17"/>
      <c r="F197" s="17"/>
      <c r="G197" s="17"/>
      <c r="H197" s="17"/>
      <c r="I197" s="19" t="str">
        <f aca="false">IF(A197="","",D197*(E197-F197))</f>
        <v/>
      </c>
      <c r="J197" s="19" t="str">
        <f aca="false">IF(A197="","",IFERROR(INDEX(设定!$B$5:$B$14,MATCH(C197,设定!$A$5:$A$14,0)),0))</f>
        <v/>
      </c>
      <c r="K197" s="20" t="str">
        <f aca="false">IF(A197="","",G197*J197/1000)</f>
        <v/>
      </c>
      <c r="L197" s="20" t="str">
        <f aca="false">IF(A197="","",I197*IFERROR(INDEX(设定!$C$5:$C$14,MATCH(C197,设定!$A$5:$A$14,0)),0))</f>
        <v/>
      </c>
      <c r="M197" s="21" t="str">
        <f aca="false">IF(A197="","",IF(L197&gt;0,K197/L197,0))</f>
        <v/>
      </c>
      <c r="N197" s="21" t="str">
        <f aca="false">IF(OR(A197="",H197=""),"",IF(J197&gt;0,(H197-J197)/J197,0))</f>
        <v/>
      </c>
      <c r="O197" s="22" t="str">
        <f aca="false">IF(OR(A197="",H197=""),"",IF(H197&lt;J197,"⚠ 低于标示",""))</f>
        <v/>
      </c>
      <c r="P197" s="19" t="n">
        <f aca="false">IF(OR(A197="",H197=""),0,G197*(H197-J197))</f>
        <v>0</v>
      </c>
      <c r="Q197" s="19" t="n">
        <f aca="false">IF(OR(A197="",H197=""),0,G197*J197)</f>
        <v>0</v>
      </c>
      <c r="R197" s="19" t="n">
        <f aca="false">IF(OR(A197="",H197=""),0,IF(H197&lt;J197,1,0))</f>
        <v>0</v>
      </c>
    </row>
    <row r="198" customFormat="false" ht="15" hidden="false" customHeight="false" outlineLevel="0" collapsed="false">
      <c r="A198" s="16"/>
      <c r="B198" s="17"/>
      <c r="C198" s="18"/>
      <c r="D198" s="17"/>
      <c r="E198" s="17"/>
      <c r="F198" s="17"/>
      <c r="G198" s="17"/>
      <c r="H198" s="17"/>
      <c r="I198" s="19" t="str">
        <f aca="false">IF(A198="","",D198*(E198-F198))</f>
        <v/>
      </c>
      <c r="J198" s="19" t="str">
        <f aca="false">IF(A198="","",IFERROR(INDEX(设定!$B$5:$B$14,MATCH(C198,设定!$A$5:$A$14,0)),0))</f>
        <v/>
      </c>
      <c r="K198" s="20" t="str">
        <f aca="false">IF(A198="","",G198*J198/1000)</f>
        <v/>
      </c>
      <c r="L198" s="20" t="str">
        <f aca="false">IF(A198="","",I198*IFERROR(INDEX(设定!$C$5:$C$14,MATCH(C198,设定!$A$5:$A$14,0)),0))</f>
        <v/>
      </c>
      <c r="M198" s="21" t="str">
        <f aca="false">IF(A198="","",IF(L198&gt;0,K198/L198,0))</f>
        <v/>
      </c>
      <c r="N198" s="21" t="str">
        <f aca="false">IF(OR(A198="",H198=""),"",IF(J198&gt;0,(H198-J198)/J198,0))</f>
        <v/>
      </c>
      <c r="O198" s="22" t="str">
        <f aca="false">IF(OR(A198="",H198=""),"",IF(H198&lt;J198,"⚠ 低于标示",""))</f>
        <v/>
      </c>
      <c r="P198" s="19" t="n">
        <f aca="false">IF(OR(A198="",H198=""),0,G198*(H198-J198))</f>
        <v>0</v>
      </c>
      <c r="Q198" s="19" t="n">
        <f aca="false">IF(OR(A198="",H198=""),0,G198*J198)</f>
        <v>0</v>
      </c>
      <c r="R198" s="19" t="n">
        <f aca="false">IF(OR(A198="",H198=""),0,IF(H198&lt;J198,1,0))</f>
        <v>0</v>
      </c>
    </row>
    <row r="199" customFormat="false" ht="15" hidden="false" customHeight="false" outlineLevel="0" collapsed="false">
      <c r="A199" s="16"/>
      <c r="B199" s="17"/>
      <c r="C199" s="18"/>
      <c r="D199" s="17"/>
      <c r="E199" s="17"/>
      <c r="F199" s="17"/>
      <c r="G199" s="17"/>
      <c r="H199" s="17"/>
      <c r="I199" s="19" t="str">
        <f aca="false">IF(A199="","",D199*(E199-F199))</f>
        <v/>
      </c>
      <c r="J199" s="19" t="str">
        <f aca="false">IF(A199="","",IFERROR(INDEX(设定!$B$5:$B$14,MATCH(C199,设定!$A$5:$A$14,0)),0))</f>
        <v/>
      </c>
      <c r="K199" s="20" t="str">
        <f aca="false">IF(A199="","",G199*J199/1000)</f>
        <v/>
      </c>
      <c r="L199" s="20" t="str">
        <f aca="false">IF(A199="","",I199*IFERROR(INDEX(设定!$C$5:$C$14,MATCH(C199,设定!$A$5:$A$14,0)),0))</f>
        <v/>
      </c>
      <c r="M199" s="21" t="str">
        <f aca="false">IF(A199="","",IF(L199&gt;0,K199/L199,0))</f>
        <v/>
      </c>
      <c r="N199" s="21" t="str">
        <f aca="false">IF(OR(A199="",H199=""),"",IF(J199&gt;0,(H199-J199)/J199,0))</f>
        <v/>
      </c>
      <c r="O199" s="22" t="str">
        <f aca="false">IF(OR(A199="",H199=""),"",IF(H199&lt;J199,"⚠ 低于标示",""))</f>
        <v/>
      </c>
      <c r="P199" s="19" t="n">
        <f aca="false">IF(OR(A199="",H199=""),0,G199*(H199-J199))</f>
        <v>0</v>
      </c>
      <c r="Q199" s="19" t="n">
        <f aca="false">IF(OR(A199="",H199=""),0,G199*J199)</f>
        <v>0</v>
      </c>
      <c r="R199" s="19" t="n">
        <f aca="false">IF(OR(A199="",H199=""),0,IF(H199&lt;J199,1,0))</f>
        <v>0</v>
      </c>
    </row>
    <row r="200" customFormat="false" ht="15" hidden="false" customHeight="false" outlineLevel="0" collapsed="false">
      <c r="A200" s="16"/>
      <c r="B200" s="17"/>
      <c r="C200" s="18"/>
      <c r="D200" s="17"/>
      <c r="E200" s="17"/>
      <c r="F200" s="17"/>
      <c r="G200" s="17"/>
      <c r="H200" s="17"/>
      <c r="I200" s="19" t="str">
        <f aca="false">IF(A200="","",D200*(E200-F200))</f>
        <v/>
      </c>
      <c r="J200" s="19" t="str">
        <f aca="false">IF(A200="","",IFERROR(INDEX(设定!$B$5:$B$14,MATCH(C200,设定!$A$5:$A$14,0)),0))</f>
        <v/>
      </c>
      <c r="K200" s="20" t="str">
        <f aca="false">IF(A200="","",G200*J200/1000)</f>
        <v/>
      </c>
      <c r="L200" s="20" t="str">
        <f aca="false">IF(A200="","",I200*IFERROR(INDEX(设定!$C$5:$C$14,MATCH(C200,设定!$A$5:$A$14,0)),0))</f>
        <v/>
      </c>
      <c r="M200" s="21" t="str">
        <f aca="false">IF(A200="","",IF(L200&gt;0,K200/L200,0))</f>
        <v/>
      </c>
      <c r="N200" s="21" t="str">
        <f aca="false">IF(OR(A200="",H200=""),"",IF(J200&gt;0,(H200-J200)/J200,0))</f>
        <v/>
      </c>
      <c r="O200" s="22" t="str">
        <f aca="false">IF(OR(A200="",H200=""),"",IF(H200&lt;J200,"⚠ 低于标示",""))</f>
        <v/>
      </c>
      <c r="P200" s="19" t="n">
        <f aca="false">IF(OR(A200="",H200=""),0,G200*(H200-J200))</f>
        <v>0</v>
      </c>
      <c r="Q200" s="19" t="n">
        <f aca="false">IF(OR(A200="",H200=""),0,G200*J200)</f>
        <v>0</v>
      </c>
      <c r="R200" s="19" t="n">
        <f aca="false">IF(OR(A200="",H200=""),0,IF(H200&lt;J200,1,0))</f>
        <v>0</v>
      </c>
    </row>
    <row r="201" customFormat="false" ht="15" hidden="false" customHeight="false" outlineLevel="0" collapsed="false">
      <c r="A201" s="16"/>
      <c r="B201" s="17"/>
      <c r="C201" s="18"/>
      <c r="D201" s="17"/>
      <c r="E201" s="17"/>
      <c r="F201" s="17"/>
      <c r="G201" s="17"/>
      <c r="H201" s="17"/>
      <c r="I201" s="19" t="str">
        <f aca="false">IF(A201="","",D201*(E201-F201))</f>
        <v/>
      </c>
      <c r="J201" s="19" t="str">
        <f aca="false">IF(A201="","",IFERROR(INDEX(设定!$B$5:$B$14,MATCH(C201,设定!$A$5:$A$14,0)),0))</f>
        <v/>
      </c>
      <c r="K201" s="20" t="str">
        <f aca="false">IF(A201="","",G201*J201/1000)</f>
        <v/>
      </c>
      <c r="L201" s="20" t="str">
        <f aca="false">IF(A201="","",I201*IFERROR(INDEX(设定!$C$5:$C$14,MATCH(C201,设定!$A$5:$A$14,0)),0))</f>
        <v/>
      </c>
      <c r="M201" s="21" t="str">
        <f aca="false">IF(A201="","",IF(L201&gt;0,K201/L201,0))</f>
        <v/>
      </c>
      <c r="N201" s="21" t="str">
        <f aca="false">IF(OR(A201="",H201=""),"",IF(J201&gt;0,(H201-J201)/J201,0))</f>
        <v/>
      </c>
      <c r="O201" s="22" t="str">
        <f aca="false">IF(OR(A201="",H201=""),"",IF(H201&lt;J201,"⚠ 低于标示",""))</f>
        <v/>
      </c>
      <c r="P201" s="19" t="n">
        <f aca="false">IF(OR(A201="",H201=""),0,G201*(H201-J201))</f>
        <v>0</v>
      </c>
      <c r="Q201" s="19" t="n">
        <f aca="false">IF(OR(A201="",H201=""),0,G201*J201)</f>
        <v>0</v>
      </c>
      <c r="R201" s="19" t="n">
        <f aca="false">IF(OR(A201="",H201=""),0,IF(H201&lt;J201,1,0))</f>
        <v>0</v>
      </c>
    </row>
    <row r="202" customFormat="false" ht="15" hidden="false" customHeight="false" outlineLevel="0" collapsed="false">
      <c r="A202" s="16"/>
      <c r="B202" s="17"/>
      <c r="C202" s="18"/>
      <c r="D202" s="17"/>
      <c r="E202" s="17"/>
      <c r="F202" s="17"/>
      <c r="G202" s="17"/>
      <c r="H202" s="17"/>
      <c r="I202" s="19" t="str">
        <f aca="false">IF(A202="","",D202*(E202-F202))</f>
        <v/>
      </c>
      <c r="J202" s="19" t="str">
        <f aca="false">IF(A202="","",IFERROR(INDEX(设定!$B$5:$B$14,MATCH(C202,设定!$A$5:$A$14,0)),0))</f>
        <v/>
      </c>
      <c r="K202" s="20" t="str">
        <f aca="false">IF(A202="","",G202*J202/1000)</f>
        <v/>
      </c>
      <c r="L202" s="20" t="str">
        <f aca="false">IF(A202="","",I202*IFERROR(INDEX(设定!$C$5:$C$14,MATCH(C202,设定!$A$5:$A$14,0)),0))</f>
        <v/>
      </c>
      <c r="M202" s="21" t="str">
        <f aca="false">IF(A202="","",IF(L202&gt;0,K202/L202,0))</f>
        <v/>
      </c>
      <c r="N202" s="21" t="str">
        <f aca="false">IF(OR(A202="",H202=""),"",IF(J202&gt;0,(H202-J202)/J202,0))</f>
        <v/>
      </c>
      <c r="O202" s="22" t="str">
        <f aca="false">IF(OR(A202="",H202=""),"",IF(H202&lt;J202,"⚠ 低于标示",""))</f>
        <v/>
      </c>
      <c r="P202" s="19" t="n">
        <f aca="false">IF(OR(A202="",H202=""),0,G202*(H202-J202))</f>
        <v>0</v>
      </c>
      <c r="Q202" s="19" t="n">
        <f aca="false">IF(OR(A202="",H202=""),0,G202*J202)</f>
        <v>0</v>
      </c>
      <c r="R202" s="19" t="n">
        <f aca="false">IF(OR(A202="",H202=""),0,IF(H202&lt;J202,1,0))</f>
        <v>0</v>
      </c>
    </row>
    <row r="203" customFormat="false" ht="15" hidden="false" customHeight="false" outlineLevel="0" collapsed="false">
      <c r="A203" s="16"/>
      <c r="B203" s="17"/>
      <c r="C203" s="18"/>
      <c r="D203" s="17"/>
      <c r="E203" s="17"/>
      <c r="F203" s="17"/>
      <c r="G203" s="17"/>
      <c r="H203" s="17"/>
      <c r="I203" s="19" t="str">
        <f aca="false">IF(A203="","",D203*(E203-F203))</f>
        <v/>
      </c>
      <c r="J203" s="19" t="str">
        <f aca="false">IF(A203="","",IFERROR(INDEX(设定!$B$5:$B$14,MATCH(C203,设定!$A$5:$A$14,0)),0))</f>
        <v/>
      </c>
      <c r="K203" s="20" t="str">
        <f aca="false">IF(A203="","",G203*J203/1000)</f>
        <v/>
      </c>
      <c r="L203" s="20" t="str">
        <f aca="false">IF(A203="","",I203*IFERROR(INDEX(设定!$C$5:$C$14,MATCH(C203,设定!$A$5:$A$14,0)),0))</f>
        <v/>
      </c>
      <c r="M203" s="21" t="str">
        <f aca="false">IF(A203="","",IF(L203&gt;0,K203/L203,0))</f>
        <v/>
      </c>
      <c r="N203" s="21" t="str">
        <f aca="false">IF(OR(A203="",H203=""),"",IF(J203&gt;0,(H203-J203)/J203,0))</f>
        <v/>
      </c>
      <c r="O203" s="22" t="str">
        <f aca="false">IF(OR(A203="",H203=""),"",IF(H203&lt;J203,"⚠ 低于标示",""))</f>
        <v/>
      </c>
      <c r="P203" s="19" t="n">
        <f aca="false">IF(OR(A203="",H203=""),0,G203*(H203-J203))</f>
        <v>0</v>
      </c>
      <c r="Q203" s="19" t="n">
        <f aca="false">IF(OR(A203="",H203=""),0,G203*J203)</f>
        <v>0</v>
      </c>
      <c r="R203" s="19" t="n">
        <f aca="false">IF(OR(A203="",H203=""),0,IF(H203&lt;J203,1,0))</f>
        <v>0</v>
      </c>
    </row>
    <row r="204" customFormat="false" ht="15" hidden="false" customHeight="false" outlineLevel="0" collapsed="false">
      <c r="A204" s="16"/>
      <c r="B204" s="17"/>
      <c r="C204" s="18"/>
      <c r="D204" s="17"/>
      <c r="E204" s="17"/>
      <c r="F204" s="17"/>
      <c r="G204" s="17"/>
      <c r="H204" s="17"/>
      <c r="I204" s="19" t="str">
        <f aca="false">IF(A204="","",D204*(E204-F204))</f>
        <v/>
      </c>
      <c r="J204" s="19" t="str">
        <f aca="false">IF(A204="","",IFERROR(INDEX(设定!$B$5:$B$14,MATCH(C204,设定!$A$5:$A$14,0)),0))</f>
        <v/>
      </c>
      <c r="K204" s="20" t="str">
        <f aca="false">IF(A204="","",G204*J204/1000)</f>
        <v/>
      </c>
      <c r="L204" s="20" t="str">
        <f aca="false">IF(A204="","",I204*IFERROR(INDEX(设定!$C$5:$C$14,MATCH(C204,设定!$A$5:$A$14,0)),0))</f>
        <v/>
      </c>
      <c r="M204" s="21" t="str">
        <f aca="false">IF(A204="","",IF(L204&gt;0,K204/L204,0))</f>
        <v/>
      </c>
      <c r="N204" s="21" t="str">
        <f aca="false">IF(OR(A204="",H204=""),"",IF(J204&gt;0,(H204-J204)/J204,0))</f>
        <v/>
      </c>
      <c r="O204" s="22" t="str">
        <f aca="false">IF(OR(A204="",H204=""),"",IF(H204&lt;J204,"⚠ 低于标示",""))</f>
        <v/>
      </c>
      <c r="P204" s="19" t="n">
        <f aca="false">IF(OR(A204="",H204=""),0,G204*(H204-J204))</f>
        <v>0</v>
      </c>
      <c r="Q204" s="19" t="n">
        <f aca="false">IF(OR(A204="",H204=""),0,G204*J204)</f>
        <v>0</v>
      </c>
      <c r="R204" s="19" t="n">
        <f aca="false">IF(OR(A204="",H204=""),0,IF(H204&lt;J204,1,0))</f>
        <v>0</v>
      </c>
    </row>
    <row r="205" customFormat="false" ht="15" hidden="false" customHeight="false" outlineLevel="0" collapsed="false">
      <c r="A205" s="16"/>
      <c r="B205" s="17"/>
      <c r="C205" s="18"/>
      <c r="D205" s="17"/>
      <c r="E205" s="17"/>
      <c r="F205" s="17"/>
      <c r="G205" s="17"/>
      <c r="H205" s="17"/>
      <c r="I205" s="19" t="str">
        <f aca="false">IF(A205="","",D205*(E205-F205))</f>
        <v/>
      </c>
      <c r="J205" s="19" t="str">
        <f aca="false">IF(A205="","",IFERROR(INDEX(设定!$B$5:$B$14,MATCH(C205,设定!$A$5:$A$14,0)),0))</f>
        <v/>
      </c>
      <c r="K205" s="20" t="str">
        <f aca="false">IF(A205="","",G205*J205/1000)</f>
        <v/>
      </c>
      <c r="L205" s="20" t="str">
        <f aca="false">IF(A205="","",I205*IFERROR(INDEX(设定!$C$5:$C$14,MATCH(C205,设定!$A$5:$A$14,0)),0))</f>
        <v/>
      </c>
      <c r="M205" s="21" t="str">
        <f aca="false">IF(A205="","",IF(L205&gt;0,K205/L205,0))</f>
        <v/>
      </c>
      <c r="N205" s="21" t="str">
        <f aca="false">IF(OR(A205="",H205=""),"",IF(J205&gt;0,(H205-J205)/J205,0))</f>
        <v/>
      </c>
      <c r="O205" s="22" t="str">
        <f aca="false">IF(OR(A205="",H205=""),"",IF(H205&lt;J205,"⚠ 低于标示",""))</f>
        <v/>
      </c>
      <c r="P205" s="19" t="n">
        <f aca="false">IF(OR(A205="",H205=""),0,G205*(H205-J205))</f>
        <v>0</v>
      </c>
      <c r="Q205" s="19" t="n">
        <f aca="false">IF(OR(A205="",H205=""),0,G205*J205)</f>
        <v>0</v>
      </c>
      <c r="R205" s="19" t="n">
        <f aca="false">IF(OR(A205="",H205=""),0,IF(H205&lt;J205,1,0))</f>
        <v>0</v>
      </c>
    </row>
    <row r="206" customFormat="false" ht="15" hidden="false" customHeight="false" outlineLevel="0" collapsed="false">
      <c r="A206" s="16"/>
      <c r="B206" s="17"/>
      <c r="C206" s="18"/>
      <c r="D206" s="17"/>
      <c r="E206" s="17"/>
      <c r="F206" s="17"/>
      <c r="G206" s="17"/>
      <c r="H206" s="17"/>
      <c r="I206" s="19" t="str">
        <f aca="false">IF(A206="","",D206*(E206-F206))</f>
        <v/>
      </c>
      <c r="J206" s="19" t="str">
        <f aca="false">IF(A206="","",IFERROR(INDEX(设定!$B$5:$B$14,MATCH(C206,设定!$A$5:$A$14,0)),0))</f>
        <v/>
      </c>
      <c r="K206" s="20" t="str">
        <f aca="false">IF(A206="","",G206*J206/1000)</f>
        <v/>
      </c>
      <c r="L206" s="20" t="str">
        <f aca="false">IF(A206="","",I206*IFERROR(INDEX(设定!$C$5:$C$14,MATCH(C206,设定!$A$5:$A$14,0)),0))</f>
        <v/>
      </c>
      <c r="M206" s="21" t="str">
        <f aca="false">IF(A206="","",IF(L206&gt;0,K206/L206,0))</f>
        <v/>
      </c>
      <c r="N206" s="21" t="str">
        <f aca="false">IF(OR(A206="",H206=""),"",IF(J206&gt;0,(H206-J206)/J206,0))</f>
        <v/>
      </c>
      <c r="O206" s="22" t="str">
        <f aca="false">IF(OR(A206="",H206=""),"",IF(H206&lt;J206,"⚠ 低于标示",""))</f>
        <v/>
      </c>
      <c r="P206" s="19" t="n">
        <f aca="false">IF(OR(A206="",H206=""),0,G206*(H206-J206))</f>
        <v>0</v>
      </c>
      <c r="Q206" s="19" t="n">
        <f aca="false">IF(OR(A206="",H206=""),0,G206*J206)</f>
        <v>0</v>
      </c>
      <c r="R206" s="19" t="n">
        <f aca="false">IF(OR(A206="",H206=""),0,IF(H206&lt;J206,1,0))</f>
        <v>0</v>
      </c>
    </row>
    <row r="207" customFormat="false" ht="15" hidden="false" customHeight="false" outlineLevel="0" collapsed="false">
      <c r="A207" s="16"/>
      <c r="B207" s="17"/>
      <c r="C207" s="18"/>
      <c r="D207" s="17"/>
      <c r="E207" s="17"/>
      <c r="F207" s="17"/>
      <c r="G207" s="17"/>
      <c r="H207" s="17"/>
      <c r="I207" s="19" t="str">
        <f aca="false">IF(A207="","",D207*(E207-F207))</f>
        <v/>
      </c>
      <c r="J207" s="19" t="str">
        <f aca="false">IF(A207="","",IFERROR(INDEX(设定!$B$5:$B$14,MATCH(C207,设定!$A$5:$A$14,0)),0))</f>
        <v/>
      </c>
      <c r="K207" s="20" t="str">
        <f aca="false">IF(A207="","",G207*J207/1000)</f>
        <v/>
      </c>
      <c r="L207" s="20" t="str">
        <f aca="false">IF(A207="","",I207*IFERROR(INDEX(设定!$C$5:$C$14,MATCH(C207,设定!$A$5:$A$14,0)),0))</f>
        <v/>
      </c>
      <c r="M207" s="21" t="str">
        <f aca="false">IF(A207="","",IF(L207&gt;0,K207/L207,0))</f>
        <v/>
      </c>
      <c r="N207" s="21" t="str">
        <f aca="false">IF(OR(A207="",H207=""),"",IF(J207&gt;0,(H207-J207)/J207,0))</f>
        <v/>
      </c>
      <c r="O207" s="22" t="str">
        <f aca="false">IF(OR(A207="",H207=""),"",IF(H207&lt;J207,"⚠ 低于标示",""))</f>
        <v/>
      </c>
      <c r="P207" s="19" t="n">
        <f aca="false">IF(OR(A207="",H207=""),0,G207*(H207-J207))</f>
        <v>0</v>
      </c>
      <c r="Q207" s="19" t="n">
        <f aca="false">IF(OR(A207="",H207=""),0,G207*J207)</f>
        <v>0</v>
      </c>
      <c r="R207" s="19" t="n">
        <f aca="false">IF(OR(A207="",H207=""),0,IF(H207&lt;J207,1,0))</f>
        <v>0</v>
      </c>
    </row>
    <row r="208" customFormat="false" ht="15" hidden="false" customHeight="false" outlineLevel="0" collapsed="false">
      <c r="A208" s="16"/>
      <c r="B208" s="17"/>
      <c r="C208" s="18"/>
      <c r="D208" s="17"/>
      <c r="E208" s="17"/>
      <c r="F208" s="17"/>
      <c r="G208" s="17"/>
      <c r="H208" s="17"/>
      <c r="I208" s="19" t="str">
        <f aca="false">IF(A208="","",D208*(E208-F208))</f>
        <v/>
      </c>
      <c r="J208" s="19" t="str">
        <f aca="false">IF(A208="","",IFERROR(INDEX(设定!$B$5:$B$14,MATCH(C208,设定!$A$5:$A$14,0)),0))</f>
        <v/>
      </c>
      <c r="K208" s="20" t="str">
        <f aca="false">IF(A208="","",G208*J208/1000)</f>
        <v/>
      </c>
      <c r="L208" s="20" t="str">
        <f aca="false">IF(A208="","",I208*IFERROR(INDEX(设定!$C$5:$C$14,MATCH(C208,设定!$A$5:$A$14,0)),0))</f>
        <v/>
      </c>
      <c r="M208" s="21" t="str">
        <f aca="false">IF(A208="","",IF(L208&gt;0,K208/L208,0))</f>
        <v/>
      </c>
      <c r="N208" s="21" t="str">
        <f aca="false">IF(OR(A208="",H208=""),"",IF(J208&gt;0,(H208-J208)/J208,0))</f>
        <v/>
      </c>
      <c r="O208" s="22" t="str">
        <f aca="false">IF(OR(A208="",H208=""),"",IF(H208&lt;J208,"⚠ 低于标示",""))</f>
        <v/>
      </c>
      <c r="P208" s="19" t="n">
        <f aca="false">IF(OR(A208="",H208=""),0,G208*(H208-J208))</f>
        <v>0</v>
      </c>
      <c r="Q208" s="19" t="n">
        <f aca="false">IF(OR(A208="",H208=""),0,G208*J208)</f>
        <v>0</v>
      </c>
      <c r="R208" s="19" t="n">
        <f aca="false">IF(OR(A208="",H208=""),0,IF(H208&lt;J208,1,0))</f>
        <v>0</v>
      </c>
    </row>
    <row r="209" customFormat="false" ht="15" hidden="false" customHeight="false" outlineLevel="0" collapsed="false">
      <c r="A209" s="16"/>
      <c r="B209" s="17"/>
      <c r="C209" s="18"/>
      <c r="D209" s="17"/>
      <c r="E209" s="17"/>
      <c r="F209" s="17"/>
      <c r="G209" s="17"/>
      <c r="H209" s="17"/>
      <c r="I209" s="19" t="str">
        <f aca="false">IF(A209="","",D209*(E209-F209))</f>
        <v/>
      </c>
      <c r="J209" s="19" t="str">
        <f aca="false">IF(A209="","",IFERROR(INDEX(设定!$B$5:$B$14,MATCH(C209,设定!$A$5:$A$14,0)),0))</f>
        <v/>
      </c>
      <c r="K209" s="20" t="str">
        <f aca="false">IF(A209="","",G209*J209/1000)</f>
        <v/>
      </c>
      <c r="L209" s="20" t="str">
        <f aca="false">IF(A209="","",I209*IFERROR(INDEX(设定!$C$5:$C$14,MATCH(C209,设定!$A$5:$A$14,0)),0))</f>
        <v/>
      </c>
      <c r="M209" s="21" t="str">
        <f aca="false">IF(A209="","",IF(L209&gt;0,K209/L209,0))</f>
        <v/>
      </c>
      <c r="N209" s="21" t="str">
        <f aca="false">IF(OR(A209="",H209=""),"",IF(J209&gt;0,(H209-J209)/J209,0))</f>
        <v/>
      </c>
      <c r="O209" s="22" t="str">
        <f aca="false">IF(OR(A209="",H209=""),"",IF(H209&lt;J209,"⚠ 低于标示",""))</f>
        <v/>
      </c>
      <c r="P209" s="19" t="n">
        <f aca="false">IF(OR(A209="",H209=""),0,G209*(H209-J209))</f>
        <v>0</v>
      </c>
      <c r="Q209" s="19" t="n">
        <f aca="false">IF(OR(A209="",H209=""),0,G209*J209)</f>
        <v>0</v>
      </c>
      <c r="R209" s="19" t="n">
        <f aca="false">IF(OR(A209="",H209=""),0,IF(H209&lt;J209,1,0))</f>
        <v>0</v>
      </c>
    </row>
    <row r="210" customFormat="false" ht="15" hidden="false" customHeight="false" outlineLevel="0" collapsed="false">
      <c r="A210" s="16"/>
      <c r="B210" s="17"/>
      <c r="C210" s="18"/>
      <c r="D210" s="17"/>
      <c r="E210" s="17"/>
      <c r="F210" s="17"/>
      <c r="G210" s="17"/>
      <c r="H210" s="17"/>
      <c r="I210" s="19" t="str">
        <f aca="false">IF(A210="","",D210*(E210-F210))</f>
        <v/>
      </c>
      <c r="J210" s="19" t="str">
        <f aca="false">IF(A210="","",IFERROR(INDEX(设定!$B$5:$B$14,MATCH(C210,设定!$A$5:$A$14,0)),0))</f>
        <v/>
      </c>
      <c r="K210" s="20" t="str">
        <f aca="false">IF(A210="","",G210*J210/1000)</f>
        <v/>
      </c>
      <c r="L210" s="20" t="str">
        <f aca="false">IF(A210="","",I210*IFERROR(INDEX(设定!$C$5:$C$14,MATCH(C210,设定!$A$5:$A$14,0)),0))</f>
        <v/>
      </c>
      <c r="M210" s="21" t="str">
        <f aca="false">IF(A210="","",IF(L210&gt;0,K210/L210,0))</f>
        <v/>
      </c>
      <c r="N210" s="21" t="str">
        <f aca="false">IF(OR(A210="",H210=""),"",IF(J210&gt;0,(H210-J210)/J210,0))</f>
        <v/>
      </c>
      <c r="O210" s="22" t="str">
        <f aca="false">IF(OR(A210="",H210=""),"",IF(H210&lt;J210,"⚠ 低于标示",""))</f>
        <v/>
      </c>
      <c r="P210" s="19" t="n">
        <f aca="false">IF(OR(A210="",H210=""),0,G210*(H210-J210))</f>
        <v>0</v>
      </c>
      <c r="Q210" s="19" t="n">
        <f aca="false">IF(OR(A210="",H210=""),0,G210*J210)</f>
        <v>0</v>
      </c>
      <c r="R210" s="19" t="n">
        <f aca="false">IF(OR(A210="",H210=""),0,IF(H210&lt;J210,1,0))</f>
        <v>0</v>
      </c>
    </row>
    <row r="211" customFormat="false" ht="15" hidden="false" customHeight="false" outlineLevel="0" collapsed="false">
      <c r="A211" s="16"/>
      <c r="B211" s="17"/>
      <c r="C211" s="18"/>
      <c r="D211" s="17"/>
      <c r="E211" s="17"/>
      <c r="F211" s="17"/>
      <c r="G211" s="17"/>
      <c r="H211" s="17"/>
      <c r="I211" s="19" t="str">
        <f aca="false">IF(A211="","",D211*(E211-F211))</f>
        <v/>
      </c>
      <c r="J211" s="19" t="str">
        <f aca="false">IF(A211="","",IFERROR(INDEX(设定!$B$5:$B$14,MATCH(C211,设定!$A$5:$A$14,0)),0))</f>
        <v/>
      </c>
      <c r="K211" s="20" t="str">
        <f aca="false">IF(A211="","",G211*J211/1000)</f>
        <v/>
      </c>
      <c r="L211" s="20" t="str">
        <f aca="false">IF(A211="","",I211*IFERROR(INDEX(设定!$C$5:$C$14,MATCH(C211,设定!$A$5:$A$14,0)),0))</f>
        <v/>
      </c>
      <c r="M211" s="21" t="str">
        <f aca="false">IF(A211="","",IF(L211&gt;0,K211/L211,0))</f>
        <v/>
      </c>
      <c r="N211" s="21" t="str">
        <f aca="false">IF(OR(A211="",H211=""),"",IF(J211&gt;0,(H211-J211)/J211,0))</f>
        <v/>
      </c>
      <c r="O211" s="22" t="str">
        <f aca="false">IF(OR(A211="",H211=""),"",IF(H211&lt;J211,"⚠ 低于标示",""))</f>
        <v/>
      </c>
      <c r="P211" s="19" t="n">
        <f aca="false">IF(OR(A211="",H211=""),0,G211*(H211-J211))</f>
        <v>0</v>
      </c>
      <c r="Q211" s="19" t="n">
        <f aca="false">IF(OR(A211="",H211=""),0,G211*J211)</f>
        <v>0</v>
      </c>
      <c r="R211" s="19" t="n">
        <f aca="false">IF(OR(A211="",H211=""),0,IF(H211&lt;J211,1,0))</f>
        <v>0</v>
      </c>
    </row>
    <row r="212" customFormat="false" ht="15" hidden="false" customHeight="false" outlineLevel="0" collapsed="false">
      <c r="A212" s="16"/>
      <c r="B212" s="17"/>
      <c r="C212" s="18"/>
      <c r="D212" s="17"/>
      <c r="E212" s="17"/>
      <c r="F212" s="17"/>
      <c r="G212" s="17"/>
      <c r="H212" s="17"/>
      <c r="I212" s="19" t="str">
        <f aca="false">IF(A212="","",D212*(E212-F212))</f>
        <v/>
      </c>
      <c r="J212" s="19" t="str">
        <f aca="false">IF(A212="","",IFERROR(INDEX(设定!$B$5:$B$14,MATCH(C212,设定!$A$5:$A$14,0)),0))</f>
        <v/>
      </c>
      <c r="K212" s="20" t="str">
        <f aca="false">IF(A212="","",G212*J212/1000)</f>
        <v/>
      </c>
      <c r="L212" s="20" t="str">
        <f aca="false">IF(A212="","",I212*IFERROR(INDEX(设定!$C$5:$C$14,MATCH(C212,设定!$A$5:$A$14,0)),0))</f>
        <v/>
      </c>
      <c r="M212" s="21" t="str">
        <f aca="false">IF(A212="","",IF(L212&gt;0,K212/L212,0))</f>
        <v/>
      </c>
      <c r="N212" s="21" t="str">
        <f aca="false">IF(OR(A212="",H212=""),"",IF(J212&gt;0,(H212-J212)/J212,0))</f>
        <v/>
      </c>
      <c r="O212" s="22" t="str">
        <f aca="false">IF(OR(A212="",H212=""),"",IF(H212&lt;J212,"⚠ 低于标示",""))</f>
        <v/>
      </c>
      <c r="P212" s="19" t="n">
        <f aca="false">IF(OR(A212="",H212=""),0,G212*(H212-J212))</f>
        <v>0</v>
      </c>
      <c r="Q212" s="19" t="n">
        <f aca="false">IF(OR(A212="",H212=""),0,G212*J212)</f>
        <v>0</v>
      </c>
      <c r="R212" s="19" t="n">
        <f aca="false">IF(OR(A212="",H212=""),0,IF(H212&lt;J212,1,0))</f>
        <v>0</v>
      </c>
    </row>
    <row r="213" customFormat="false" ht="15" hidden="false" customHeight="false" outlineLevel="0" collapsed="false">
      <c r="A213" s="16"/>
      <c r="B213" s="17"/>
      <c r="C213" s="18"/>
      <c r="D213" s="17"/>
      <c r="E213" s="17"/>
      <c r="F213" s="17"/>
      <c r="G213" s="17"/>
      <c r="H213" s="17"/>
      <c r="I213" s="19" t="str">
        <f aca="false">IF(A213="","",D213*(E213-F213))</f>
        <v/>
      </c>
      <c r="J213" s="19" t="str">
        <f aca="false">IF(A213="","",IFERROR(INDEX(设定!$B$5:$B$14,MATCH(C213,设定!$A$5:$A$14,0)),0))</f>
        <v/>
      </c>
      <c r="K213" s="20" t="str">
        <f aca="false">IF(A213="","",G213*J213/1000)</f>
        <v/>
      </c>
      <c r="L213" s="20" t="str">
        <f aca="false">IF(A213="","",I213*IFERROR(INDEX(设定!$C$5:$C$14,MATCH(C213,设定!$A$5:$A$14,0)),0))</f>
        <v/>
      </c>
      <c r="M213" s="21" t="str">
        <f aca="false">IF(A213="","",IF(L213&gt;0,K213/L213,0))</f>
        <v/>
      </c>
      <c r="N213" s="21" t="str">
        <f aca="false">IF(OR(A213="",H213=""),"",IF(J213&gt;0,(H213-J213)/J213,0))</f>
        <v/>
      </c>
      <c r="O213" s="22" t="str">
        <f aca="false">IF(OR(A213="",H213=""),"",IF(H213&lt;J213,"⚠ 低于标示",""))</f>
        <v/>
      </c>
      <c r="P213" s="19" t="n">
        <f aca="false">IF(OR(A213="",H213=""),0,G213*(H213-J213))</f>
        <v>0</v>
      </c>
      <c r="Q213" s="19" t="n">
        <f aca="false">IF(OR(A213="",H213=""),0,G213*J213)</f>
        <v>0</v>
      </c>
      <c r="R213" s="19" t="n">
        <f aca="false">IF(OR(A213="",H213=""),0,IF(H213&lt;J213,1,0))</f>
        <v>0</v>
      </c>
    </row>
    <row r="214" customFormat="false" ht="15" hidden="false" customHeight="false" outlineLevel="0" collapsed="false">
      <c r="A214" s="16"/>
      <c r="B214" s="17"/>
      <c r="C214" s="18"/>
      <c r="D214" s="17"/>
      <c r="E214" s="17"/>
      <c r="F214" s="17"/>
      <c r="G214" s="17"/>
      <c r="H214" s="17"/>
      <c r="I214" s="19" t="str">
        <f aca="false">IF(A214="","",D214*(E214-F214))</f>
        <v/>
      </c>
      <c r="J214" s="19" t="str">
        <f aca="false">IF(A214="","",IFERROR(INDEX(设定!$B$5:$B$14,MATCH(C214,设定!$A$5:$A$14,0)),0))</f>
        <v/>
      </c>
      <c r="K214" s="20" t="str">
        <f aca="false">IF(A214="","",G214*J214/1000)</f>
        <v/>
      </c>
      <c r="L214" s="20" t="str">
        <f aca="false">IF(A214="","",I214*IFERROR(INDEX(设定!$C$5:$C$14,MATCH(C214,设定!$A$5:$A$14,0)),0))</f>
        <v/>
      </c>
      <c r="M214" s="21" t="str">
        <f aca="false">IF(A214="","",IF(L214&gt;0,K214/L214,0))</f>
        <v/>
      </c>
      <c r="N214" s="21" t="str">
        <f aca="false">IF(OR(A214="",H214=""),"",IF(J214&gt;0,(H214-J214)/J214,0))</f>
        <v/>
      </c>
      <c r="O214" s="22" t="str">
        <f aca="false">IF(OR(A214="",H214=""),"",IF(H214&lt;J214,"⚠ 低于标示",""))</f>
        <v/>
      </c>
      <c r="P214" s="19" t="n">
        <f aca="false">IF(OR(A214="",H214=""),0,G214*(H214-J214))</f>
        <v>0</v>
      </c>
      <c r="Q214" s="19" t="n">
        <f aca="false">IF(OR(A214="",H214=""),0,G214*J214)</f>
        <v>0</v>
      </c>
      <c r="R214" s="19" t="n">
        <f aca="false">IF(OR(A214="",H214=""),0,IF(H214&lt;J214,1,0))</f>
        <v>0</v>
      </c>
    </row>
    <row r="215" customFormat="false" ht="15" hidden="false" customHeight="false" outlineLevel="0" collapsed="false">
      <c r="A215" s="16"/>
      <c r="B215" s="17"/>
      <c r="C215" s="18"/>
      <c r="D215" s="17"/>
      <c r="E215" s="17"/>
      <c r="F215" s="17"/>
      <c r="G215" s="17"/>
      <c r="H215" s="17"/>
      <c r="I215" s="19" t="str">
        <f aca="false">IF(A215="","",D215*(E215-F215))</f>
        <v/>
      </c>
      <c r="J215" s="19" t="str">
        <f aca="false">IF(A215="","",IFERROR(INDEX(设定!$B$5:$B$14,MATCH(C215,设定!$A$5:$A$14,0)),0))</f>
        <v/>
      </c>
      <c r="K215" s="20" t="str">
        <f aca="false">IF(A215="","",G215*J215/1000)</f>
        <v/>
      </c>
      <c r="L215" s="20" t="str">
        <f aca="false">IF(A215="","",I215*IFERROR(INDEX(设定!$C$5:$C$14,MATCH(C215,设定!$A$5:$A$14,0)),0))</f>
        <v/>
      </c>
      <c r="M215" s="21" t="str">
        <f aca="false">IF(A215="","",IF(L215&gt;0,K215/L215,0))</f>
        <v/>
      </c>
      <c r="N215" s="21" t="str">
        <f aca="false">IF(OR(A215="",H215=""),"",IF(J215&gt;0,(H215-J215)/J215,0))</f>
        <v/>
      </c>
      <c r="O215" s="22" t="str">
        <f aca="false">IF(OR(A215="",H215=""),"",IF(H215&lt;J215,"⚠ 低于标示",""))</f>
        <v/>
      </c>
      <c r="P215" s="19" t="n">
        <f aca="false">IF(OR(A215="",H215=""),0,G215*(H215-J215))</f>
        <v>0</v>
      </c>
      <c r="Q215" s="19" t="n">
        <f aca="false">IF(OR(A215="",H215=""),0,G215*J215)</f>
        <v>0</v>
      </c>
      <c r="R215" s="19" t="n">
        <f aca="false">IF(OR(A215="",H215=""),0,IF(H215&lt;J215,1,0))</f>
        <v>0</v>
      </c>
    </row>
    <row r="216" customFormat="false" ht="15" hidden="false" customHeight="false" outlineLevel="0" collapsed="false">
      <c r="A216" s="16"/>
      <c r="B216" s="17"/>
      <c r="C216" s="18"/>
      <c r="D216" s="17"/>
      <c r="E216" s="17"/>
      <c r="F216" s="17"/>
      <c r="G216" s="17"/>
      <c r="H216" s="17"/>
      <c r="I216" s="19" t="str">
        <f aca="false">IF(A216="","",D216*(E216-F216))</f>
        <v/>
      </c>
      <c r="J216" s="19" t="str">
        <f aca="false">IF(A216="","",IFERROR(INDEX(设定!$B$5:$B$14,MATCH(C216,设定!$A$5:$A$14,0)),0))</f>
        <v/>
      </c>
      <c r="K216" s="20" t="str">
        <f aca="false">IF(A216="","",G216*J216/1000)</f>
        <v/>
      </c>
      <c r="L216" s="20" t="str">
        <f aca="false">IF(A216="","",I216*IFERROR(INDEX(设定!$C$5:$C$14,MATCH(C216,设定!$A$5:$A$14,0)),0))</f>
        <v/>
      </c>
      <c r="M216" s="21" t="str">
        <f aca="false">IF(A216="","",IF(L216&gt;0,K216/L216,0))</f>
        <v/>
      </c>
      <c r="N216" s="21" t="str">
        <f aca="false">IF(OR(A216="",H216=""),"",IF(J216&gt;0,(H216-J216)/J216,0))</f>
        <v/>
      </c>
      <c r="O216" s="22" t="str">
        <f aca="false">IF(OR(A216="",H216=""),"",IF(H216&lt;J216,"⚠ 低于标示",""))</f>
        <v/>
      </c>
      <c r="P216" s="19" t="n">
        <f aca="false">IF(OR(A216="",H216=""),0,G216*(H216-J216))</f>
        <v>0</v>
      </c>
      <c r="Q216" s="19" t="n">
        <f aca="false">IF(OR(A216="",H216=""),0,G216*J216)</f>
        <v>0</v>
      </c>
      <c r="R216" s="19" t="n">
        <f aca="false">IF(OR(A216="",H216=""),0,IF(H216&lt;J216,1,0))</f>
        <v>0</v>
      </c>
    </row>
    <row r="217" customFormat="false" ht="15" hidden="false" customHeight="false" outlineLevel="0" collapsed="false">
      <c r="A217" s="16"/>
      <c r="B217" s="17"/>
      <c r="C217" s="18"/>
      <c r="D217" s="17"/>
      <c r="E217" s="17"/>
      <c r="F217" s="17"/>
      <c r="G217" s="17"/>
      <c r="H217" s="17"/>
      <c r="I217" s="19" t="str">
        <f aca="false">IF(A217="","",D217*(E217-F217))</f>
        <v/>
      </c>
      <c r="J217" s="19" t="str">
        <f aca="false">IF(A217="","",IFERROR(INDEX(设定!$B$5:$B$14,MATCH(C217,设定!$A$5:$A$14,0)),0))</f>
        <v/>
      </c>
      <c r="K217" s="20" t="str">
        <f aca="false">IF(A217="","",G217*J217/1000)</f>
        <v/>
      </c>
      <c r="L217" s="20" t="str">
        <f aca="false">IF(A217="","",I217*IFERROR(INDEX(设定!$C$5:$C$14,MATCH(C217,设定!$A$5:$A$14,0)),0))</f>
        <v/>
      </c>
      <c r="M217" s="21" t="str">
        <f aca="false">IF(A217="","",IF(L217&gt;0,K217/L217,0))</f>
        <v/>
      </c>
      <c r="N217" s="21" t="str">
        <f aca="false">IF(OR(A217="",H217=""),"",IF(J217&gt;0,(H217-J217)/J217,0))</f>
        <v/>
      </c>
      <c r="O217" s="22" t="str">
        <f aca="false">IF(OR(A217="",H217=""),"",IF(H217&lt;J217,"⚠ 低于标示",""))</f>
        <v/>
      </c>
      <c r="P217" s="19" t="n">
        <f aca="false">IF(OR(A217="",H217=""),0,G217*(H217-J217))</f>
        <v>0</v>
      </c>
      <c r="Q217" s="19" t="n">
        <f aca="false">IF(OR(A217="",H217=""),0,G217*J217)</f>
        <v>0</v>
      </c>
      <c r="R217" s="19" t="n">
        <f aca="false">IF(OR(A217="",H217=""),0,IF(H217&lt;J217,1,0))</f>
        <v>0</v>
      </c>
    </row>
    <row r="218" customFormat="false" ht="15" hidden="false" customHeight="false" outlineLevel="0" collapsed="false">
      <c r="A218" s="16"/>
      <c r="B218" s="17"/>
      <c r="C218" s="18"/>
      <c r="D218" s="17"/>
      <c r="E218" s="17"/>
      <c r="F218" s="17"/>
      <c r="G218" s="17"/>
      <c r="H218" s="17"/>
      <c r="I218" s="19" t="str">
        <f aca="false">IF(A218="","",D218*(E218-F218))</f>
        <v/>
      </c>
      <c r="J218" s="19" t="str">
        <f aca="false">IF(A218="","",IFERROR(INDEX(设定!$B$5:$B$14,MATCH(C218,设定!$A$5:$A$14,0)),0))</f>
        <v/>
      </c>
      <c r="K218" s="20" t="str">
        <f aca="false">IF(A218="","",G218*J218/1000)</f>
        <v/>
      </c>
      <c r="L218" s="20" t="str">
        <f aca="false">IF(A218="","",I218*IFERROR(INDEX(设定!$C$5:$C$14,MATCH(C218,设定!$A$5:$A$14,0)),0))</f>
        <v/>
      </c>
      <c r="M218" s="21" t="str">
        <f aca="false">IF(A218="","",IF(L218&gt;0,K218/L218,0))</f>
        <v/>
      </c>
      <c r="N218" s="21" t="str">
        <f aca="false">IF(OR(A218="",H218=""),"",IF(J218&gt;0,(H218-J218)/J218,0))</f>
        <v/>
      </c>
      <c r="O218" s="22" t="str">
        <f aca="false">IF(OR(A218="",H218=""),"",IF(H218&lt;J218,"⚠ 低于标示",""))</f>
        <v/>
      </c>
      <c r="P218" s="19" t="n">
        <f aca="false">IF(OR(A218="",H218=""),0,G218*(H218-J218))</f>
        <v>0</v>
      </c>
      <c r="Q218" s="19" t="n">
        <f aca="false">IF(OR(A218="",H218=""),0,G218*J218)</f>
        <v>0</v>
      </c>
      <c r="R218" s="19" t="n">
        <f aca="false">IF(OR(A218="",H218=""),0,IF(H218&lt;J218,1,0))</f>
        <v>0</v>
      </c>
    </row>
    <row r="219" customFormat="false" ht="15" hidden="false" customHeight="false" outlineLevel="0" collapsed="false">
      <c r="A219" s="16"/>
      <c r="B219" s="17"/>
      <c r="C219" s="18"/>
      <c r="D219" s="17"/>
      <c r="E219" s="17"/>
      <c r="F219" s="17"/>
      <c r="G219" s="17"/>
      <c r="H219" s="17"/>
      <c r="I219" s="19" t="str">
        <f aca="false">IF(A219="","",D219*(E219-F219))</f>
        <v/>
      </c>
      <c r="J219" s="19" t="str">
        <f aca="false">IF(A219="","",IFERROR(INDEX(设定!$B$5:$B$14,MATCH(C219,设定!$A$5:$A$14,0)),0))</f>
        <v/>
      </c>
      <c r="K219" s="20" t="str">
        <f aca="false">IF(A219="","",G219*J219/1000)</f>
        <v/>
      </c>
      <c r="L219" s="20" t="str">
        <f aca="false">IF(A219="","",I219*IFERROR(INDEX(设定!$C$5:$C$14,MATCH(C219,设定!$A$5:$A$14,0)),0))</f>
        <v/>
      </c>
      <c r="M219" s="21" t="str">
        <f aca="false">IF(A219="","",IF(L219&gt;0,K219/L219,0))</f>
        <v/>
      </c>
      <c r="N219" s="21" t="str">
        <f aca="false">IF(OR(A219="",H219=""),"",IF(J219&gt;0,(H219-J219)/J219,0))</f>
        <v/>
      </c>
      <c r="O219" s="22" t="str">
        <f aca="false">IF(OR(A219="",H219=""),"",IF(H219&lt;J219,"⚠ 低于标示",""))</f>
        <v/>
      </c>
      <c r="P219" s="19" t="n">
        <f aca="false">IF(OR(A219="",H219=""),0,G219*(H219-J219))</f>
        <v>0</v>
      </c>
      <c r="Q219" s="19" t="n">
        <f aca="false">IF(OR(A219="",H219=""),0,G219*J219)</f>
        <v>0</v>
      </c>
      <c r="R219" s="19" t="n">
        <f aca="false">IF(OR(A219="",H219=""),0,IF(H219&lt;J219,1,0))</f>
        <v>0</v>
      </c>
    </row>
    <row r="220" customFormat="false" ht="15" hidden="false" customHeight="false" outlineLevel="0" collapsed="false">
      <c r="A220" s="16"/>
      <c r="B220" s="17"/>
      <c r="C220" s="18"/>
      <c r="D220" s="17"/>
      <c r="E220" s="17"/>
      <c r="F220" s="17"/>
      <c r="G220" s="17"/>
      <c r="H220" s="17"/>
      <c r="I220" s="19" t="str">
        <f aca="false">IF(A220="","",D220*(E220-F220))</f>
        <v/>
      </c>
      <c r="J220" s="19" t="str">
        <f aca="false">IF(A220="","",IFERROR(INDEX(设定!$B$5:$B$14,MATCH(C220,设定!$A$5:$A$14,0)),0))</f>
        <v/>
      </c>
      <c r="K220" s="20" t="str">
        <f aca="false">IF(A220="","",G220*J220/1000)</f>
        <v/>
      </c>
      <c r="L220" s="20" t="str">
        <f aca="false">IF(A220="","",I220*IFERROR(INDEX(设定!$C$5:$C$14,MATCH(C220,设定!$A$5:$A$14,0)),0))</f>
        <v/>
      </c>
      <c r="M220" s="21" t="str">
        <f aca="false">IF(A220="","",IF(L220&gt;0,K220/L220,0))</f>
        <v/>
      </c>
      <c r="N220" s="21" t="str">
        <f aca="false">IF(OR(A220="",H220=""),"",IF(J220&gt;0,(H220-J220)/J220,0))</f>
        <v/>
      </c>
      <c r="O220" s="22" t="str">
        <f aca="false">IF(OR(A220="",H220=""),"",IF(H220&lt;J220,"⚠ 低于标示",""))</f>
        <v/>
      </c>
      <c r="P220" s="19" t="n">
        <f aca="false">IF(OR(A220="",H220=""),0,G220*(H220-J220))</f>
        <v>0</v>
      </c>
      <c r="Q220" s="19" t="n">
        <f aca="false">IF(OR(A220="",H220=""),0,G220*J220)</f>
        <v>0</v>
      </c>
      <c r="R220" s="19" t="n">
        <f aca="false">IF(OR(A220="",H220=""),0,IF(H220&lt;J220,1,0))</f>
        <v>0</v>
      </c>
    </row>
    <row r="221" customFormat="false" ht="15" hidden="false" customHeight="false" outlineLevel="0" collapsed="false">
      <c r="A221" s="16"/>
      <c r="B221" s="17"/>
      <c r="C221" s="18"/>
      <c r="D221" s="17"/>
      <c r="E221" s="17"/>
      <c r="F221" s="17"/>
      <c r="G221" s="17"/>
      <c r="H221" s="17"/>
      <c r="I221" s="19" t="str">
        <f aca="false">IF(A221="","",D221*(E221-F221))</f>
        <v/>
      </c>
      <c r="J221" s="19" t="str">
        <f aca="false">IF(A221="","",IFERROR(INDEX(设定!$B$5:$B$14,MATCH(C221,设定!$A$5:$A$14,0)),0))</f>
        <v/>
      </c>
      <c r="K221" s="20" t="str">
        <f aca="false">IF(A221="","",G221*J221/1000)</f>
        <v/>
      </c>
      <c r="L221" s="20" t="str">
        <f aca="false">IF(A221="","",I221*IFERROR(INDEX(设定!$C$5:$C$14,MATCH(C221,设定!$A$5:$A$14,0)),0))</f>
        <v/>
      </c>
      <c r="M221" s="21" t="str">
        <f aca="false">IF(A221="","",IF(L221&gt;0,K221/L221,0))</f>
        <v/>
      </c>
      <c r="N221" s="21" t="str">
        <f aca="false">IF(OR(A221="",H221=""),"",IF(J221&gt;0,(H221-J221)/J221,0))</f>
        <v/>
      </c>
      <c r="O221" s="22" t="str">
        <f aca="false">IF(OR(A221="",H221=""),"",IF(H221&lt;J221,"⚠ 低于标示",""))</f>
        <v/>
      </c>
      <c r="P221" s="19" t="n">
        <f aca="false">IF(OR(A221="",H221=""),0,G221*(H221-J221))</f>
        <v>0</v>
      </c>
      <c r="Q221" s="19" t="n">
        <f aca="false">IF(OR(A221="",H221=""),0,G221*J221)</f>
        <v>0</v>
      </c>
      <c r="R221" s="19" t="n">
        <f aca="false">IF(OR(A221="",H221=""),0,IF(H221&lt;J221,1,0))</f>
        <v>0</v>
      </c>
    </row>
    <row r="222" customFormat="false" ht="15" hidden="false" customHeight="false" outlineLevel="0" collapsed="false">
      <c r="A222" s="16"/>
      <c r="B222" s="17"/>
      <c r="C222" s="18"/>
      <c r="D222" s="17"/>
      <c r="E222" s="17"/>
      <c r="F222" s="17"/>
      <c r="G222" s="17"/>
      <c r="H222" s="17"/>
      <c r="I222" s="19" t="str">
        <f aca="false">IF(A222="","",D222*(E222-F222))</f>
        <v/>
      </c>
      <c r="J222" s="19" t="str">
        <f aca="false">IF(A222="","",IFERROR(INDEX(设定!$B$5:$B$14,MATCH(C222,设定!$A$5:$A$14,0)),0))</f>
        <v/>
      </c>
      <c r="K222" s="20" t="str">
        <f aca="false">IF(A222="","",G222*J222/1000)</f>
        <v/>
      </c>
      <c r="L222" s="20" t="str">
        <f aca="false">IF(A222="","",I222*IFERROR(INDEX(设定!$C$5:$C$14,MATCH(C222,设定!$A$5:$A$14,0)),0))</f>
        <v/>
      </c>
      <c r="M222" s="21" t="str">
        <f aca="false">IF(A222="","",IF(L222&gt;0,K222/L222,0))</f>
        <v/>
      </c>
      <c r="N222" s="21" t="str">
        <f aca="false">IF(OR(A222="",H222=""),"",IF(J222&gt;0,(H222-J222)/J222,0))</f>
        <v/>
      </c>
      <c r="O222" s="22" t="str">
        <f aca="false">IF(OR(A222="",H222=""),"",IF(H222&lt;J222,"⚠ 低于标示",""))</f>
        <v/>
      </c>
      <c r="P222" s="19" t="n">
        <f aca="false">IF(OR(A222="",H222=""),0,G222*(H222-J222))</f>
        <v>0</v>
      </c>
      <c r="Q222" s="19" t="n">
        <f aca="false">IF(OR(A222="",H222=""),0,G222*J222)</f>
        <v>0</v>
      </c>
      <c r="R222" s="19" t="n">
        <f aca="false">IF(OR(A222="",H222=""),0,IF(H222&lt;J222,1,0))</f>
        <v>0</v>
      </c>
    </row>
    <row r="223" customFormat="false" ht="15" hidden="false" customHeight="false" outlineLevel="0" collapsed="false">
      <c r="A223" s="16"/>
      <c r="B223" s="17"/>
      <c r="C223" s="18"/>
      <c r="D223" s="17"/>
      <c r="E223" s="17"/>
      <c r="F223" s="17"/>
      <c r="G223" s="17"/>
      <c r="H223" s="17"/>
      <c r="I223" s="19" t="str">
        <f aca="false">IF(A223="","",D223*(E223-F223))</f>
        <v/>
      </c>
      <c r="J223" s="19" t="str">
        <f aca="false">IF(A223="","",IFERROR(INDEX(设定!$B$5:$B$14,MATCH(C223,设定!$A$5:$A$14,0)),0))</f>
        <v/>
      </c>
      <c r="K223" s="20" t="str">
        <f aca="false">IF(A223="","",G223*J223/1000)</f>
        <v/>
      </c>
      <c r="L223" s="20" t="str">
        <f aca="false">IF(A223="","",I223*IFERROR(INDEX(设定!$C$5:$C$14,MATCH(C223,设定!$A$5:$A$14,0)),0))</f>
        <v/>
      </c>
      <c r="M223" s="21" t="str">
        <f aca="false">IF(A223="","",IF(L223&gt;0,K223/L223,0))</f>
        <v/>
      </c>
      <c r="N223" s="21" t="str">
        <f aca="false">IF(OR(A223="",H223=""),"",IF(J223&gt;0,(H223-J223)/J223,0))</f>
        <v/>
      </c>
      <c r="O223" s="22" t="str">
        <f aca="false">IF(OR(A223="",H223=""),"",IF(H223&lt;J223,"⚠ 低于标示",""))</f>
        <v/>
      </c>
      <c r="P223" s="19" t="n">
        <f aca="false">IF(OR(A223="",H223=""),0,G223*(H223-J223))</f>
        <v>0</v>
      </c>
      <c r="Q223" s="19" t="n">
        <f aca="false">IF(OR(A223="",H223=""),0,G223*J223)</f>
        <v>0</v>
      </c>
      <c r="R223" s="19" t="n">
        <f aca="false">IF(OR(A223="",H223=""),0,IF(H223&lt;J223,1,0))</f>
        <v>0</v>
      </c>
    </row>
    <row r="224" customFormat="false" ht="15" hidden="false" customHeight="false" outlineLevel="0" collapsed="false">
      <c r="A224" s="16"/>
      <c r="B224" s="17"/>
      <c r="C224" s="18"/>
      <c r="D224" s="17"/>
      <c r="E224" s="17"/>
      <c r="F224" s="17"/>
      <c r="G224" s="17"/>
      <c r="H224" s="17"/>
      <c r="I224" s="19" t="str">
        <f aca="false">IF(A224="","",D224*(E224-F224))</f>
        <v/>
      </c>
      <c r="J224" s="19" t="str">
        <f aca="false">IF(A224="","",IFERROR(INDEX(设定!$B$5:$B$14,MATCH(C224,设定!$A$5:$A$14,0)),0))</f>
        <v/>
      </c>
      <c r="K224" s="20" t="str">
        <f aca="false">IF(A224="","",G224*J224/1000)</f>
        <v/>
      </c>
      <c r="L224" s="20" t="str">
        <f aca="false">IF(A224="","",I224*IFERROR(INDEX(设定!$C$5:$C$14,MATCH(C224,设定!$A$5:$A$14,0)),0))</f>
        <v/>
      </c>
      <c r="M224" s="21" t="str">
        <f aca="false">IF(A224="","",IF(L224&gt;0,K224/L224,0))</f>
        <v/>
      </c>
      <c r="N224" s="21" t="str">
        <f aca="false">IF(OR(A224="",H224=""),"",IF(J224&gt;0,(H224-J224)/J224,0))</f>
        <v/>
      </c>
      <c r="O224" s="22" t="str">
        <f aca="false">IF(OR(A224="",H224=""),"",IF(H224&lt;J224,"⚠ 低于标示",""))</f>
        <v/>
      </c>
      <c r="P224" s="19" t="n">
        <f aca="false">IF(OR(A224="",H224=""),0,G224*(H224-J224))</f>
        <v>0</v>
      </c>
      <c r="Q224" s="19" t="n">
        <f aca="false">IF(OR(A224="",H224=""),0,G224*J224)</f>
        <v>0</v>
      </c>
      <c r="R224" s="19" t="n">
        <f aca="false">IF(OR(A224="",H224=""),0,IF(H224&lt;J224,1,0))</f>
        <v>0</v>
      </c>
    </row>
    <row r="225" customFormat="false" ht="15" hidden="false" customHeight="false" outlineLevel="0" collapsed="false">
      <c r="A225" s="16"/>
      <c r="B225" s="17"/>
      <c r="C225" s="18"/>
      <c r="D225" s="17"/>
      <c r="E225" s="17"/>
      <c r="F225" s="17"/>
      <c r="G225" s="17"/>
      <c r="H225" s="17"/>
      <c r="I225" s="19" t="str">
        <f aca="false">IF(A225="","",D225*(E225-F225))</f>
        <v/>
      </c>
      <c r="J225" s="19" t="str">
        <f aca="false">IF(A225="","",IFERROR(INDEX(设定!$B$5:$B$14,MATCH(C225,设定!$A$5:$A$14,0)),0))</f>
        <v/>
      </c>
      <c r="K225" s="20" t="str">
        <f aca="false">IF(A225="","",G225*J225/1000)</f>
        <v/>
      </c>
      <c r="L225" s="20" t="str">
        <f aca="false">IF(A225="","",I225*IFERROR(INDEX(设定!$C$5:$C$14,MATCH(C225,设定!$A$5:$A$14,0)),0))</f>
        <v/>
      </c>
      <c r="M225" s="21" t="str">
        <f aca="false">IF(A225="","",IF(L225&gt;0,K225/L225,0))</f>
        <v/>
      </c>
      <c r="N225" s="21" t="str">
        <f aca="false">IF(OR(A225="",H225=""),"",IF(J225&gt;0,(H225-J225)/J225,0))</f>
        <v/>
      </c>
      <c r="O225" s="22" t="str">
        <f aca="false">IF(OR(A225="",H225=""),"",IF(H225&lt;J225,"⚠ 低于标示",""))</f>
        <v/>
      </c>
      <c r="P225" s="19" t="n">
        <f aca="false">IF(OR(A225="",H225=""),0,G225*(H225-J225))</f>
        <v>0</v>
      </c>
      <c r="Q225" s="19" t="n">
        <f aca="false">IF(OR(A225="",H225=""),0,G225*J225)</f>
        <v>0</v>
      </c>
      <c r="R225" s="19" t="n">
        <f aca="false">IF(OR(A225="",H225=""),0,IF(H225&lt;J225,1,0))</f>
        <v>0</v>
      </c>
    </row>
    <row r="226" customFormat="false" ht="15" hidden="false" customHeight="false" outlineLevel="0" collapsed="false">
      <c r="A226" s="16"/>
      <c r="B226" s="17"/>
      <c r="C226" s="18"/>
      <c r="D226" s="17"/>
      <c r="E226" s="17"/>
      <c r="F226" s="17"/>
      <c r="G226" s="17"/>
      <c r="H226" s="17"/>
      <c r="I226" s="19" t="str">
        <f aca="false">IF(A226="","",D226*(E226-F226))</f>
        <v/>
      </c>
      <c r="J226" s="19" t="str">
        <f aca="false">IF(A226="","",IFERROR(INDEX(设定!$B$5:$B$14,MATCH(C226,设定!$A$5:$A$14,0)),0))</f>
        <v/>
      </c>
      <c r="K226" s="20" t="str">
        <f aca="false">IF(A226="","",G226*J226/1000)</f>
        <v/>
      </c>
      <c r="L226" s="20" t="str">
        <f aca="false">IF(A226="","",I226*IFERROR(INDEX(设定!$C$5:$C$14,MATCH(C226,设定!$A$5:$A$14,0)),0))</f>
        <v/>
      </c>
      <c r="M226" s="21" t="str">
        <f aca="false">IF(A226="","",IF(L226&gt;0,K226/L226,0))</f>
        <v/>
      </c>
      <c r="N226" s="21" t="str">
        <f aca="false">IF(OR(A226="",H226=""),"",IF(J226&gt;0,(H226-J226)/J226,0))</f>
        <v/>
      </c>
      <c r="O226" s="22" t="str">
        <f aca="false">IF(OR(A226="",H226=""),"",IF(H226&lt;J226,"⚠ 低于标示",""))</f>
        <v/>
      </c>
      <c r="P226" s="19" t="n">
        <f aca="false">IF(OR(A226="",H226=""),0,G226*(H226-J226))</f>
        <v>0</v>
      </c>
      <c r="Q226" s="19" t="n">
        <f aca="false">IF(OR(A226="",H226=""),0,G226*J226)</f>
        <v>0</v>
      </c>
      <c r="R226" s="19" t="n">
        <f aca="false">IF(OR(A226="",H226=""),0,IF(H226&lt;J226,1,0))</f>
        <v>0</v>
      </c>
    </row>
    <row r="227" customFormat="false" ht="15" hidden="false" customHeight="false" outlineLevel="0" collapsed="false">
      <c r="A227" s="16"/>
      <c r="B227" s="17"/>
      <c r="C227" s="18"/>
      <c r="D227" s="17"/>
      <c r="E227" s="17"/>
      <c r="F227" s="17"/>
      <c r="G227" s="17"/>
      <c r="H227" s="17"/>
      <c r="I227" s="19" t="str">
        <f aca="false">IF(A227="","",D227*(E227-F227))</f>
        <v/>
      </c>
      <c r="J227" s="19" t="str">
        <f aca="false">IF(A227="","",IFERROR(INDEX(设定!$B$5:$B$14,MATCH(C227,设定!$A$5:$A$14,0)),0))</f>
        <v/>
      </c>
      <c r="K227" s="20" t="str">
        <f aca="false">IF(A227="","",G227*J227/1000)</f>
        <v/>
      </c>
      <c r="L227" s="20" t="str">
        <f aca="false">IF(A227="","",I227*IFERROR(INDEX(设定!$C$5:$C$14,MATCH(C227,设定!$A$5:$A$14,0)),0))</f>
        <v/>
      </c>
      <c r="M227" s="21" t="str">
        <f aca="false">IF(A227="","",IF(L227&gt;0,K227/L227,0))</f>
        <v/>
      </c>
      <c r="N227" s="21" t="str">
        <f aca="false">IF(OR(A227="",H227=""),"",IF(J227&gt;0,(H227-J227)/J227,0))</f>
        <v/>
      </c>
      <c r="O227" s="22" t="str">
        <f aca="false">IF(OR(A227="",H227=""),"",IF(H227&lt;J227,"⚠ 低于标示",""))</f>
        <v/>
      </c>
      <c r="P227" s="19" t="n">
        <f aca="false">IF(OR(A227="",H227=""),0,G227*(H227-J227))</f>
        <v>0</v>
      </c>
      <c r="Q227" s="19" t="n">
        <f aca="false">IF(OR(A227="",H227=""),0,G227*J227)</f>
        <v>0</v>
      </c>
      <c r="R227" s="19" t="n">
        <f aca="false">IF(OR(A227="",H227=""),0,IF(H227&lt;J227,1,0))</f>
        <v>0</v>
      </c>
    </row>
    <row r="228" customFormat="false" ht="15" hidden="false" customHeight="false" outlineLevel="0" collapsed="false">
      <c r="A228" s="16"/>
      <c r="B228" s="17"/>
      <c r="C228" s="18"/>
      <c r="D228" s="17"/>
      <c r="E228" s="17"/>
      <c r="F228" s="17"/>
      <c r="G228" s="17"/>
      <c r="H228" s="17"/>
      <c r="I228" s="19" t="str">
        <f aca="false">IF(A228="","",D228*(E228-F228))</f>
        <v/>
      </c>
      <c r="J228" s="19" t="str">
        <f aca="false">IF(A228="","",IFERROR(INDEX(设定!$B$5:$B$14,MATCH(C228,设定!$A$5:$A$14,0)),0))</f>
        <v/>
      </c>
      <c r="K228" s="20" t="str">
        <f aca="false">IF(A228="","",G228*J228/1000)</f>
        <v/>
      </c>
      <c r="L228" s="20" t="str">
        <f aca="false">IF(A228="","",I228*IFERROR(INDEX(设定!$C$5:$C$14,MATCH(C228,设定!$A$5:$A$14,0)),0))</f>
        <v/>
      </c>
      <c r="M228" s="21" t="str">
        <f aca="false">IF(A228="","",IF(L228&gt;0,K228/L228,0))</f>
        <v/>
      </c>
      <c r="N228" s="21" t="str">
        <f aca="false">IF(OR(A228="",H228=""),"",IF(J228&gt;0,(H228-J228)/J228,0))</f>
        <v/>
      </c>
      <c r="O228" s="22" t="str">
        <f aca="false">IF(OR(A228="",H228=""),"",IF(H228&lt;J228,"⚠ 低于标示",""))</f>
        <v/>
      </c>
      <c r="P228" s="19" t="n">
        <f aca="false">IF(OR(A228="",H228=""),0,G228*(H228-J228))</f>
        <v>0</v>
      </c>
      <c r="Q228" s="19" t="n">
        <f aca="false">IF(OR(A228="",H228=""),0,G228*J228)</f>
        <v>0</v>
      </c>
      <c r="R228" s="19" t="n">
        <f aca="false">IF(OR(A228="",H228=""),0,IF(H228&lt;J228,1,0))</f>
        <v>0</v>
      </c>
    </row>
    <row r="229" customFormat="false" ht="15" hidden="false" customHeight="false" outlineLevel="0" collapsed="false">
      <c r="A229" s="16"/>
      <c r="B229" s="17"/>
      <c r="C229" s="18"/>
      <c r="D229" s="17"/>
      <c r="E229" s="17"/>
      <c r="F229" s="17"/>
      <c r="G229" s="17"/>
      <c r="H229" s="17"/>
      <c r="I229" s="19" t="str">
        <f aca="false">IF(A229="","",D229*(E229-F229))</f>
        <v/>
      </c>
      <c r="J229" s="19" t="str">
        <f aca="false">IF(A229="","",IFERROR(INDEX(设定!$B$5:$B$14,MATCH(C229,设定!$A$5:$A$14,0)),0))</f>
        <v/>
      </c>
      <c r="K229" s="20" t="str">
        <f aca="false">IF(A229="","",G229*J229/1000)</f>
        <v/>
      </c>
      <c r="L229" s="20" t="str">
        <f aca="false">IF(A229="","",I229*IFERROR(INDEX(设定!$C$5:$C$14,MATCH(C229,设定!$A$5:$A$14,0)),0))</f>
        <v/>
      </c>
      <c r="M229" s="21" t="str">
        <f aca="false">IF(A229="","",IF(L229&gt;0,K229/L229,0))</f>
        <v/>
      </c>
      <c r="N229" s="21" t="str">
        <f aca="false">IF(OR(A229="",H229=""),"",IF(J229&gt;0,(H229-J229)/J229,0))</f>
        <v/>
      </c>
      <c r="O229" s="22" t="str">
        <f aca="false">IF(OR(A229="",H229=""),"",IF(H229&lt;J229,"⚠ 低于标示",""))</f>
        <v/>
      </c>
      <c r="P229" s="19" t="n">
        <f aca="false">IF(OR(A229="",H229=""),0,G229*(H229-J229))</f>
        <v>0</v>
      </c>
      <c r="Q229" s="19" t="n">
        <f aca="false">IF(OR(A229="",H229=""),0,G229*J229)</f>
        <v>0</v>
      </c>
      <c r="R229" s="19" t="n">
        <f aca="false">IF(OR(A229="",H229=""),0,IF(H229&lt;J229,1,0))</f>
        <v>0</v>
      </c>
    </row>
    <row r="230" customFormat="false" ht="15" hidden="false" customHeight="false" outlineLevel="0" collapsed="false">
      <c r="A230" s="16"/>
      <c r="B230" s="17"/>
      <c r="C230" s="18"/>
      <c r="D230" s="17"/>
      <c r="E230" s="17"/>
      <c r="F230" s="17"/>
      <c r="G230" s="17"/>
      <c r="H230" s="17"/>
      <c r="I230" s="19" t="str">
        <f aca="false">IF(A230="","",D230*(E230-F230))</f>
        <v/>
      </c>
      <c r="J230" s="19" t="str">
        <f aca="false">IF(A230="","",IFERROR(INDEX(设定!$B$5:$B$14,MATCH(C230,设定!$A$5:$A$14,0)),0))</f>
        <v/>
      </c>
      <c r="K230" s="20" t="str">
        <f aca="false">IF(A230="","",G230*J230/1000)</f>
        <v/>
      </c>
      <c r="L230" s="20" t="str">
        <f aca="false">IF(A230="","",I230*IFERROR(INDEX(设定!$C$5:$C$14,MATCH(C230,设定!$A$5:$A$14,0)),0))</f>
        <v/>
      </c>
      <c r="M230" s="21" t="str">
        <f aca="false">IF(A230="","",IF(L230&gt;0,K230/L230,0))</f>
        <v/>
      </c>
      <c r="N230" s="21" t="str">
        <f aca="false">IF(OR(A230="",H230=""),"",IF(J230&gt;0,(H230-J230)/J230,0))</f>
        <v/>
      </c>
      <c r="O230" s="22" t="str">
        <f aca="false">IF(OR(A230="",H230=""),"",IF(H230&lt;J230,"⚠ 低于标示",""))</f>
        <v/>
      </c>
      <c r="P230" s="19" t="n">
        <f aca="false">IF(OR(A230="",H230=""),0,G230*(H230-J230))</f>
        <v>0</v>
      </c>
      <c r="Q230" s="19" t="n">
        <f aca="false">IF(OR(A230="",H230=""),0,G230*J230)</f>
        <v>0</v>
      </c>
      <c r="R230" s="19" t="n">
        <f aca="false">IF(OR(A230="",H230=""),0,IF(H230&lt;J230,1,0))</f>
        <v>0</v>
      </c>
    </row>
    <row r="231" customFormat="false" ht="15" hidden="false" customHeight="false" outlineLevel="0" collapsed="false">
      <c r="A231" s="16"/>
      <c r="B231" s="17"/>
      <c r="C231" s="18"/>
      <c r="D231" s="17"/>
      <c r="E231" s="17"/>
      <c r="F231" s="17"/>
      <c r="G231" s="17"/>
      <c r="H231" s="17"/>
      <c r="I231" s="19" t="str">
        <f aca="false">IF(A231="","",D231*(E231-F231))</f>
        <v/>
      </c>
      <c r="J231" s="19" t="str">
        <f aca="false">IF(A231="","",IFERROR(INDEX(设定!$B$5:$B$14,MATCH(C231,设定!$A$5:$A$14,0)),0))</f>
        <v/>
      </c>
      <c r="K231" s="20" t="str">
        <f aca="false">IF(A231="","",G231*J231/1000)</f>
        <v/>
      </c>
      <c r="L231" s="20" t="str">
        <f aca="false">IF(A231="","",I231*IFERROR(INDEX(设定!$C$5:$C$14,MATCH(C231,设定!$A$5:$A$14,0)),0))</f>
        <v/>
      </c>
      <c r="M231" s="21" t="str">
        <f aca="false">IF(A231="","",IF(L231&gt;0,K231/L231,0))</f>
        <v/>
      </c>
      <c r="N231" s="21" t="str">
        <f aca="false">IF(OR(A231="",H231=""),"",IF(J231&gt;0,(H231-J231)/J231,0))</f>
        <v/>
      </c>
      <c r="O231" s="22" t="str">
        <f aca="false">IF(OR(A231="",H231=""),"",IF(H231&lt;J231,"⚠ 低于标示",""))</f>
        <v/>
      </c>
      <c r="P231" s="19" t="n">
        <f aca="false">IF(OR(A231="",H231=""),0,G231*(H231-J231))</f>
        <v>0</v>
      </c>
      <c r="Q231" s="19" t="n">
        <f aca="false">IF(OR(A231="",H231=""),0,G231*J231)</f>
        <v>0</v>
      </c>
      <c r="R231" s="19" t="n">
        <f aca="false">IF(OR(A231="",H231=""),0,IF(H231&lt;J231,1,0))</f>
        <v>0</v>
      </c>
    </row>
    <row r="232" customFormat="false" ht="15" hidden="false" customHeight="false" outlineLevel="0" collapsed="false">
      <c r="A232" s="16"/>
      <c r="B232" s="17"/>
      <c r="C232" s="18"/>
      <c r="D232" s="17"/>
      <c r="E232" s="17"/>
      <c r="F232" s="17"/>
      <c r="G232" s="17"/>
      <c r="H232" s="17"/>
      <c r="I232" s="19" t="str">
        <f aca="false">IF(A232="","",D232*(E232-F232))</f>
        <v/>
      </c>
      <c r="J232" s="19" t="str">
        <f aca="false">IF(A232="","",IFERROR(INDEX(设定!$B$5:$B$14,MATCH(C232,设定!$A$5:$A$14,0)),0))</f>
        <v/>
      </c>
      <c r="K232" s="20" t="str">
        <f aca="false">IF(A232="","",G232*J232/1000)</f>
        <v/>
      </c>
      <c r="L232" s="20" t="str">
        <f aca="false">IF(A232="","",I232*IFERROR(INDEX(设定!$C$5:$C$14,MATCH(C232,设定!$A$5:$A$14,0)),0))</f>
        <v/>
      </c>
      <c r="M232" s="21" t="str">
        <f aca="false">IF(A232="","",IF(L232&gt;0,K232/L232,0))</f>
        <v/>
      </c>
      <c r="N232" s="21" t="str">
        <f aca="false">IF(OR(A232="",H232=""),"",IF(J232&gt;0,(H232-J232)/J232,0))</f>
        <v/>
      </c>
      <c r="O232" s="22" t="str">
        <f aca="false">IF(OR(A232="",H232=""),"",IF(H232&lt;J232,"⚠ 低于标示",""))</f>
        <v/>
      </c>
      <c r="P232" s="19" t="n">
        <f aca="false">IF(OR(A232="",H232=""),0,G232*(H232-J232))</f>
        <v>0</v>
      </c>
      <c r="Q232" s="19" t="n">
        <f aca="false">IF(OR(A232="",H232=""),0,G232*J232)</f>
        <v>0</v>
      </c>
      <c r="R232" s="19" t="n">
        <f aca="false">IF(OR(A232="",H232=""),0,IF(H232&lt;J232,1,0))</f>
        <v>0</v>
      </c>
    </row>
    <row r="233" customFormat="false" ht="15" hidden="false" customHeight="false" outlineLevel="0" collapsed="false">
      <c r="A233" s="16"/>
      <c r="B233" s="17"/>
      <c r="C233" s="18"/>
      <c r="D233" s="17"/>
      <c r="E233" s="17"/>
      <c r="F233" s="17"/>
      <c r="G233" s="17"/>
      <c r="H233" s="17"/>
      <c r="I233" s="19" t="str">
        <f aca="false">IF(A233="","",D233*(E233-F233))</f>
        <v/>
      </c>
      <c r="J233" s="19" t="str">
        <f aca="false">IF(A233="","",IFERROR(INDEX(设定!$B$5:$B$14,MATCH(C233,设定!$A$5:$A$14,0)),0))</f>
        <v/>
      </c>
      <c r="K233" s="20" t="str">
        <f aca="false">IF(A233="","",G233*J233/1000)</f>
        <v/>
      </c>
      <c r="L233" s="20" t="str">
        <f aca="false">IF(A233="","",I233*IFERROR(INDEX(设定!$C$5:$C$14,MATCH(C233,设定!$A$5:$A$14,0)),0))</f>
        <v/>
      </c>
      <c r="M233" s="21" t="str">
        <f aca="false">IF(A233="","",IF(L233&gt;0,K233/L233,0))</f>
        <v/>
      </c>
      <c r="N233" s="21" t="str">
        <f aca="false">IF(OR(A233="",H233=""),"",IF(J233&gt;0,(H233-J233)/J233,0))</f>
        <v/>
      </c>
      <c r="O233" s="22" t="str">
        <f aca="false">IF(OR(A233="",H233=""),"",IF(H233&lt;J233,"⚠ 低于标示",""))</f>
        <v/>
      </c>
      <c r="P233" s="19" t="n">
        <f aca="false">IF(OR(A233="",H233=""),0,G233*(H233-J233))</f>
        <v>0</v>
      </c>
      <c r="Q233" s="19" t="n">
        <f aca="false">IF(OR(A233="",H233=""),0,G233*J233)</f>
        <v>0</v>
      </c>
      <c r="R233" s="19" t="n">
        <f aca="false">IF(OR(A233="",H233=""),0,IF(H233&lt;J233,1,0))</f>
        <v>0</v>
      </c>
    </row>
    <row r="234" customFormat="false" ht="15" hidden="false" customHeight="false" outlineLevel="0" collapsed="false">
      <c r="A234" s="16"/>
      <c r="B234" s="17"/>
      <c r="C234" s="18"/>
      <c r="D234" s="17"/>
      <c r="E234" s="17"/>
      <c r="F234" s="17"/>
      <c r="G234" s="17"/>
      <c r="H234" s="17"/>
      <c r="I234" s="19" t="str">
        <f aca="false">IF(A234="","",D234*(E234-F234))</f>
        <v/>
      </c>
      <c r="J234" s="19" t="str">
        <f aca="false">IF(A234="","",IFERROR(INDEX(设定!$B$5:$B$14,MATCH(C234,设定!$A$5:$A$14,0)),0))</f>
        <v/>
      </c>
      <c r="K234" s="20" t="str">
        <f aca="false">IF(A234="","",G234*J234/1000)</f>
        <v/>
      </c>
      <c r="L234" s="20" t="str">
        <f aca="false">IF(A234="","",I234*IFERROR(INDEX(设定!$C$5:$C$14,MATCH(C234,设定!$A$5:$A$14,0)),0))</f>
        <v/>
      </c>
      <c r="M234" s="21" t="str">
        <f aca="false">IF(A234="","",IF(L234&gt;0,K234/L234,0))</f>
        <v/>
      </c>
      <c r="N234" s="21" t="str">
        <f aca="false">IF(OR(A234="",H234=""),"",IF(J234&gt;0,(H234-J234)/J234,0))</f>
        <v/>
      </c>
      <c r="O234" s="22" t="str">
        <f aca="false">IF(OR(A234="",H234=""),"",IF(H234&lt;J234,"⚠ 低于标示",""))</f>
        <v/>
      </c>
      <c r="P234" s="19" t="n">
        <f aca="false">IF(OR(A234="",H234=""),0,G234*(H234-J234))</f>
        <v>0</v>
      </c>
      <c r="Q234" s="19" t="n">
        <f aca="false">IF(OR(A234="",H234=""),0,G234*J234)</f>
        <v>0</v>
      </c>
      <c r="R234" s="19" t="n">
        <f aca="false">IF(OR(A234="",H234=""),0,IF(H234&lt;J234,1,0))</f>
        <v>0</v>
      </c>
    </row>
    <row r="235" customFormat="false" ht="15" hidden="false" customHeight="false" outlineLevel="0" collapsed="false">
      <c r="A235" s="16"/>
      <c r="B235" s="17"/>
      <c r="C235" s="18"/>
      <c r="D235" s="17"/>
      <c r="E235" s="17"/>
      <c r="F235" s="17"/>
      <c r="G235" s="17"/>
      <c r="H235" s="17"/>
      <c r="I235" s="19" t="str">
        <f aca="false">IF(A235="","",D235*(E235-F235))</f>
        <v/>
      </c>
      <c r="J235" s="19" t="str">
        <f aca="false">IF(A235="","",IFERROR(INDEX(设定!$B$5:$B$14,MATCH(C235,设定!$A$5:$A$14,0)),0))</f>
        <v/>
      </c>
      <c r="K235" s="20" t="str">
        <f aca="false">IF(A235="","",G235*J235/1000)</f>
        <v/>
      </c>
      <c r="L235" s="20" t="str">
        <f aca="false">IF(A235="","",I235*IFERROR(INDEX(设定!$C$5:$C$14,MATCH(C235,设定!$A$5:$A$14,0)),0))</f>
        <v/>
      </c>
      <c r="M235" s="21" t="str">
        <f aca="false">IF(A235="","",IF(L235&gt;0,K235/L235,0))</f>
        <v/>
      </c>
      <c r="N235" s="21" t="str">
        <f aca="false">IF(OR(A235="",H235=""),"",IF(J235&gt;0,(H235-J235)/J235,0))</f>
        <v/>
      </c>
      <c r="O235" s="22" t="str">
        <f aca="false">IF(OR(A235="",H235=""),"",IF(H235&lt;J235,"⚠ 低于标示",""))</f>
        <v/>
      </c>
      <c r="P235" s="19" t="n">
        <f aca="false">IF(OR(A235="",H235=""),0,G235*(H235-J235))</f>
        <v>0</v>
      </c>
      <c r="Q235" s="19" t="n">
        <f aca="false">IF(OR(A235="",H235=""),0,G235*J235)</f>
        <v>0</v>
      </c>
      <c r="R235" s="19" t="n">
        <f aca="false">IF(OR(A235="",H235=""),0,IF(H235&lt;J235,1,0))</f>
        <v>0</v>
      </c>
    </row>
    <row r="236" customFormat="false" ht="15" hidden="false" customHeight="false" outlineLevel="0" collapsed="false">
      <c r="A236" s="16"/>
      <c r="B236" s="17"/>
      <c r="C236" s="18"/>
      <c r="D236" s="17"/>
      <c r="E236" s="17"/>
      <c r="F236" s="17"/>
      <c r="G236" s="17"/>
      <c r="H236" s="17"/>
      <c r="I236" s="19" t="str">
        <f aca="false">IF(A236="","",D236*(E236-F236))</f>
        <v/>
      </c>
      <c r="J236" s="19" t="str">
        <f aca="false">IF(A236="","",IFERROR(INDEX(设定!$B$5:$B$14,MATCH(C236,设定!$A$5:$A$14,0)),0))</f>
        <v/>
      </c>
      <c r="K236" s="20" t="str">
        <f aca="false">IF(A236="","",G236*J236/1000)</f>
        <v/>
      </c>
      <c r="L236" s="20" t="str">
        <f aca="false">IF(A236="","",I236*IFERROR(INDEX(设定!$C$5:$C$14,MATCH(C236,设定!$A$5:$A$14,0)),0))</f>
        <v/>
      </c>
      <c r="M236" s="21" t="str">
        <f aca="false">IF(A236="","",IF(L236&gt;0,K236/L236,0))</f>
        <v/>
      </c>
      <c r="N236" s="21" t="str">
        <f aca="false">IF(OR(A236="",H236=""),"",IF(J236&gt;0,(H236-J236)/J236,0))</f>
        <v/>
      </c>
      <c r="O236" s="22" t="str">
        <f aca="false">IF(OR(A236="",H236=""),"",IF(H236&lt;J236,"⚠ 低于标示",""))</f>
        <v/>
      </c>
      <c r="P236" s="19" t="n">
        <f aca="false">IF(OR(A236="",H236=""),0,G236*(H236-J236))</f>
        <v>0</v>
      </c>
      <c r="Q236" s="19" t="n">
        <f aca="false">IF(OR(A236="",H236=""),0,G236*J236)</f>
        <v>0</v>
      </c>
      <c r="R236" s="19" t="n">
        <f aca="false">IF(OR(A236="",H236=""),0,IF(H236&lt;J236,1,0))</f>
        <v>0</v>
      </c>
    </row>
    <row r="237" customFormat="false" ht="15" hidden="false" customHeight="false" outlineLevel="0" collapsed="false">
      <c r="A237" s="16"/>
      <c r="B237" s="17"/>
      <c r="C237" s="18"/>
      <c r="D237" s="17"/>
      <c r="E237" s="17"/>
      <c r="F237" s="17"/>
      <c r="G237" s="17"/>
      <c r="H237" s="17"/>
      <c r="I237" s="19" t="str">
        <f aca="false">IF(A237="","",D237*(E237-F237))</f>
        <v/>
      </c>
      <c r="J237" s="19" t="str">
        <f aca="false">IF(A237="","",IFERROR(INDEX(设定!$B$5:$B$14,MATCH(C237,设定!$A$5:$A$14,0)),0))</f>
        <v/>
      </c>
      <c r="K237" s="20" t="str">
        <f aca="false">IF(A237="","",G237*J237/1000)</f>
        <v/>
      </c>
      <c r="L237" s="20" t="str">
        <f aca="false">IF(A237="","",I237*IFERROR(INDEX(设定!$C$5:$C$14,MATCH(C237,设定!$A$5:$A$14,0)),0))</f>
        <v/>
      </c>
      <c r="M237" s="21" t="str">
        <f aca="false">IF(A237="","",IF(L237&gt;0,K237/L237,0))</f>
        <v/>
      </c>
      <c r="N237" s="21" t="str">
        <f aca="false">IF(OR(A237="",H237=""),"",IF(J237&gt;0,(H237-J237)/J237,0))</f>
        <v/>
      </c>
      <c r="O237" s="22" t="str">
        <f aca="false">IF(OR(A237="",H237=""),"",IF(H237&lt;J237,"⚠ 低于标示",""))</f>
        <v/>
      </c>
      <c r="P237" s="19" t="n">
        <f aca="false">IF(OR(A237="",H237=""),0,G237*(H237-J237))</f>
        <v>0</v>
      </c>
      <c r="Q237" s="19" t="n">
        <f aca="false">IF(OR(A237="",H237=""),0,G237*J237)</f>
        <v>0</v>
      </c>
      <c r="R237" s="19" t="n">
        <f aca="false">IF(OR(A237="",H237=""),0,IF(H237&lt;J237,1,0))</f>
        <v>0</v>
      </c>
    </row>
    <row r="238" customFormat="false" ht="15" hidden="false" customHeight="false" outlineLevel="0" collapsed="false">
      <c r="A238" s="16"/>
      <c r="B238" s="17"/>
      <c r="C238" s="18"/>
      <c r="D238" s="17"/>
      <c r="E238" s="17"/>
      <c r="F238" s="17"/>
      <c r="G238" s="17"/>
      <c r="H238" s="17"/>
      <c r="I238" s="19" t="str">
        <f aca="false">IF(A238="","",D238*(E238-F238))</f>
        <v/>
      </c>
      <c r="J238" s="19" t="str">
        <f aca="false">IF(A238="","",IFERROR(INDEX(设定!$B$5:$B$14,MATCH(C238,设定!$A$5:$A$14,0)),0))</f>
        <v/>
      </c>
      <c r="K238" s="20" t="str">
        <f aca="false">IF(A238="","",G238*J238/1000)</f>
        <v/>
      </c>
      <c r="L238" s="20" t="str">
        <f aca="false">IF(A238="","",I238*IFERROR(INDEX(设定!$C$5:$C$14,MATCH(C238,设定!$A$5:$A$14,0)),0))</f>
        <v/>
      </c>
      <c r="M238" s="21" t="str">
        <f aca="false">IF(A238="","",IF(L238&gt;0,K238/L238,0))</f>
        <v/>
      </c>
      <c r="N238" s="21" t="str">
        <f aca="false">IF(OR(A238="",H238=""),"",IF(J238&gt;0,(H238-J238)/J238,0))</f>
        <v/>
      </c>
      <c r="O238" s="22" t="str">
        <f aca="false">IF(OR(A238="",H238=""),"",IF(H238&lt;J238,"⚠ 低于标示",""))</f>
        <v/>
      </c>
      <c r="P238" s="19" t="n">
        <f aca="false">IF(OR(A238="",H238=""),0,G238*(H238-J238))</f>
        <v>0</v>
      </c>
      <c r="Q238" s="19" t="n">
        <f aca="false">IF(OR(A238="",H238=""),0,G238*J238)</f>
        <v>0</v>
      </c>
      <c r="R238" s="19" t="n">
        <f aca="false">IF(OR(A238="",H238=""),0,IF(H238&lt;J238,1,0))</f>
        <v>0</v>
      </c>
    </row>
    <row r="239" customFormat="false" ht="15" hidden="false" customHeight="false" outlineLevel="0" collapsed="false">
      <c r="A239" s="16"/>
      <c r="B239" s="17"/>
      <c r="C239" s="18"/>
      <c r="D239" s="17"/>
      <c r="E239" s="17"/>
      <c r="F239" s="17"/>
      <c r="G239" s="17"/>
      <c r="H239" s="17"/>
      <c r="I239" s="19" t="str">
        <f aca="false">IF(A239="","",D239*(E239-F239))</f>
        <v/>
      </c>
      <c r="J239" s="19" t="str">
        <f aca="false">IF(A239="","",IFERROR(INDEX(设定!$B$5:$B$14,MATCH(C239,设定!$A$5:$A$14,0)),0))</f>
        <v/>
      </c>
      <c r="K239" s="20" t="str">
        <f aca="false">IF(A239="","",G239*J239/1000)</f>
        <v/>
      </c>
      <c r="L239" s="20" t="str">
        <f aca="false">IF(A239="","",I239*IFERROR(INDEX(设定!$C$5:$C$14,MATCH(C239,设定!$A$5:$A$14,0)),0))</f>
        <v/>
      </c>
      <c r="M239" s="21" t="str">
        <f aca="false">IF(A239="","",IF(L239&gt;0,K239/L239,0))</f>
        <v/>
      </c>
      <c r="N239" s="21" t="str">
        <f aca="false">IF(OR(A239="",H239=""),"",IF(J239&gt;0,(H239-J239)/J239,0))</f>
        <v/>
      </c>
      <c r="O239" s="22" t="str">
        <f aca="false">IF(OR(A239="",H239=""),"",IF(H239&lt;J239,"⚠ 低于标示",""))</f>
        <v/>
      </c>
      <c r="P239" s="19" t="n">
        <f aca="false">IF(OR(A239="",H239=""),0,G239*(H239-J239))</f>
        <v>0</v>
      </c>
      <c r="Q239" s="19" t="n">
        <f aca="false">IF(OR(A239="",H239=""),0,G239*J239)</f>
        <v>0</v>
      </c>
      <c r="R239" s="19" t="n">
        <f aca="false">IF(OR(A239="",H239=""),0,IF(H239&lt;J239,1,0))</f>
        <v>0</v>
      </c>
    </row>
    <row r="240" customFormat="false" ht="15" hidden="false" customHeight="false" outlineLevel="0" collapsed="false">
      <c r="A240" s="16"/>
      <c r="B240" s="17"/>
      <c r="C240" s="18"/>
      <c r="D240" s="17"/>
      <c r="E240" s="17"/>
      <c r="F240" s="17"/>
      <c r="G240" s="17"/>
      <c r="H240" s="17"/>
      <c r="I240" s="19" t="str">
        <f aca="false">IF(A240="","",D240*(E240-F240))</f>
        <v/>
      </c>
      <c r="J240" s="19" t="str">
        <f aca="false">IF(A240="","",IFERROR(INDEX(设定!$B$5:$B$14,MATCH(C240,设定!$A$5:$A$14,0)),0))</f>
        <v/>
      </c>
      <c r="K240" s="20" t="str">
        <f aca="false">IF(A240="","",G240*J240/1000)</f>
        <v/>
      </c>
      <c r="L240" s="20" t="str">
        <f aca="false">IF(A240="","",I240*IFERROR(INDEX(设定!$C$5:$C$14,MATCH(C240,设定!$A$5:$A$14,0)),0))</f>
        <v/>
      </c>
      <c r="M240" s="21" t="str">
        <f aca="false">IF(A240="","",IF(L240&gt;0,K240/L240,0))</f>
        <v/>
      </c>
      <c r="N240" s="21" t="str">
        <f aca="false">IF(OR(A240="",H240=""),"",IF(J240&gt;0,(H240-J240)/J240,0))</f>
        <v/>
      </c>
      <c r="O240" s="22" t="str">
        <f aca="false">IF(OR(A240="",H240=""),"",IF(H240&lt;J240,"⚠ 低于标示",""))</f>
        <v/>
      </c>
      <c r="P240" s="19" t="n">
        <f aca="false">IF(OR(A240="",H240=""),0,G240*(H240-J240))</f>
        <v>0</v>
      </c>
      <c r="Q240" s="19" t="n">
        <f aca="false">IF(OR(A240="",H240=""),0,G240*J240)</f>
        <v>0</v>
      </c>
      <c r="R240" s="19" t="n">
        <f aca="false">IF(OR(A240="",H240=""),0,IF(H240&lt;J240,1,0))</f>
        <v>0</v>
      </c>
    </row>
    <row r="241" customFormat="false" ht="15" hidden="false" customHeight="false" outlineLevel="0" collapsed="false">
      <c r="A241" s="16"/>
      <c r="B241" s="17"/>
      <c r="C241" s="18"/>
      <c r="D241" s="17"/>
      <c r="E241" s="17"/>
      <c r="F241" s="17"/>
      <c r="G241" s="17"/>
      <c r="H241" s="17"/>
      <c r="I241" s="19" t="str">
        <f aca="false">IF(A241="","",D241*(E241-F241))</f>
        <v/>
      </c>
      <c r="J241" s="19" t="str">
        <f aca="false">IF(A241="","",IFERROR(INDEX(设定!$B$5:$B$14,MATCH(C241,设定!$A$5:$A$14,0)),0))</f>
        <v/>
      </c>
      <c r="K241" s="20" t="str">
        <f aca="false">IF(A241="","",G241*J241/1000)</f>
        <v/>
      </c>
      <c r="L241" s="20" t="str">
        <f aca="false">IF(A241="","",I241*IFERROR(INDEX(设定!$C$5:$C$14,MATCH(C241,设定!$A$5:$A$14,0)),0))</f>
        <v/>
      </c>
      <c r="M241" s="21" t="str">
        <f aca="false">IF(A241="","",IF(L241&gt;0,K241/L241,0))</f>
        <v/>
      </c>
      <c r="N241" s="21" t="str">
        <f aca="false">IF(OR(A241="",H241=""),"",IF(J241&gt;0,(H241-J241)/J241,0))</f>
        <v/>
      </c>
      <c r="O241" s="22" t="str">
        <f aca="false">IF(OR(A241="",H241=""),"",IF(H241&lt;J241,"⚠ 低于标示",""))</f>
        <v/>
      </c>
      <c r="P241" s="19" t="n">
        <f aca="false">IF(OR(A241="",H241=""),0,G241*(H241-J241))</f>
        <v>0</v>
      </c>
      <c r="Q241" s="19" t="n">
        <f aca="false">IF(OR(A241="",H241=""),0,G241*J241)</f>
        <v>0</v>
      </c>
      <c r="R241" s="19" t="n">
        <f aca="false">IF(OR(A241="",H241=""),0,IF(H241&lt;J241,1,0))</f>
        <v>0</v>
      </c>
    </row>
    <row r="242" customFormat="false" ht="15" hidden="false" customHeight="false" outlineLevel="0" collapsed="false">
      <c r="A242" s="16"/>
      <c r="B242" s="17"/>
      <c r="C242" s="18"/>
      <c r="D242" s="17"/>
      <c r="E242" s="17"/>
      <c r="F242" s="17"/>
      <c r="G242" s="17"/>
      <c r="H242" s="17"/>
      <c r="I242" s="19" t="str">
        <f aca="false">IF(A242="","",D242*(E242-F242))</f>
        <v/>
      </c>
      <c r="J242" s="19" t="str">
        <f aca="false">IF(A242="","",IFERROR(INDEX(设定!$B$5:$B$14,MATCH(C242,设定!$A$5:$A$14,0)),0))</f>
        <v/>
      </c>
      <c r="K242" s="20" t="str">
        <f aca="false">IF(A242="","",G242*J242/1000)</f>
        <v/>
      </c>
      <c r="L242" s="20" t="str">
        <f aca="false">IF(A242="","",I242*IFERROR(INDEX(设定!$C$5:$C$14,MATCH(C242,设定!$A$5:$A$14,0)),0))</f>
        <v/>
      </c>
      <c r="M242" s="21" t="str">
        <f aca="false">IF(A242="","",IF(L242&gt;0,K242/L242,0))</f>
        <v/>
      </c>
      <c r="N242" s="21" t="str">
        <f aca="false">IF(OR(A242="",H242=""),"",IF(J242&gt;0,(H242-J242)/J242,0))</f>
        <v/>
      </c>
      <c r="O242" s="22" t="str">
        <f aca="false">IF(OR(A242="",H242=""),"",IF(H242&lt;J242,"⚠ 低于标示",""))</f>
        <v/>
      </c>
      <c r="P242" s="19" t="n">
        <f aca="false">IF(OR(A242="",H242=""),0,G242*(H242-J242))</f>
        <v>0</v>
      </c>
      <c r="Q242" s="19" t="n">
        <f aca="false">IF(OR(A242="",H242=""),0,G242*J242)</f>
        <v>0</v>
      </c>
      <c r="R242" s="19" t="n">
        <f aca="false">IF(OR(A242="",H242=""),0,IF(H242&lt;J242,1,0))</f>
        <v>0</v>
      </c>
    </row>
    <row r="243" customFormat="false" ht="15" hidden="false" customHeight="false" outlineLevel="0" collapsed="false">
      <c r="A243" s="16"/>
      <c r="B243" s="17"/>
      <c r="C243" s="18"/>
      <c r="D243" s="17"/>
      <c r="E243" s="17"/>
      <c r="F243" s="17"/>
      <c r="G243" s="17"/>
      <c r="H243" s="17"/>
      <c r="I243" s="19" t="str">
        <f aca="false">IF(A243="","",D243*(E243-F243))</f>
        <v/>
      </c>
      <c r="J243" s="19" t="str">
        <f aca="false">IF(A243="","",IFERROR(INDEX(设定!$B$5:$B$14,MATCH(C243,设定!$A$5:$A$14,0)),0))</f>
        <v/>
      </c>
      <c r="K243" s="20" t="str">
        <f aca="false">IF(A243="","",G243*J243/1000)</f>
        <v/>
      </c>
      <c r="L243" s="20" t="str">
        <f aca="false">IF(A243="","",I243*IFERROR(INDEX(设定!$C$5:$C$14,MATCH(C243,设定!$A$5:$A$14,0)),0))</f>
        <v/>
      </c>
      <c r="M243" s="21" t="str">
        <f aca="false">IF(A243="","",IF(L243&gt;0,K243/L243,0))</f>
        <v/>
      </c>
      <c r="N243" s="21" t="str">
        <f aca="false">IF(OR(A243="",H243=""),"",IF(J243&gt;0,(H243-J243)/J243,0))</f>
        <v/>
      </c>
      <c r="O243" s="22" t="str">
        <f aca="false">IF(OR(A243="",H243=""),"",IF(H243&lt;J243,"⚠ 低于标示",""))</f>
        <v/>
      </c>
      <c r="P243" s="19" t="n">
        <f aca="false">IF(OR(A243="",H243=""),0,G243*(H243-J243))</f>
        <v>0</v>
      </c>
      <c r="Q243" s="19" t="n">
        <f aca="false">IF(OR(A243="",H243=""),0,G243*J243)</f>
        <v>0</v>
      </c>
      <c r="R243" s="19" t="n">
        <f aca="false">IF(OR(A243="",H243=""),0,IF(H243&lt;J243,1,0))</f>
        <v>0</v>
      </c>
    </row>
    <row r="244" customFormat="false" ht="15" hidden="false" customHeight="false" outlineLevel="0" collapsed="false">
      <c r="A244" s="16"/>
      <c r="B244" s="17"/>
      <c r="C244" s="18"/>
      <c r="D244" s="17"/>
      <c r="E244" s="17"/>
      <c r="F244" s="17"/>
      <c r="G244" s="17"/>
      <c r="H244" s="17"/>
      <c r="I244" s="19" t="str">
        <f aca="false">IF(A244="","",D244*(E244-F244))</f>
        <v/>
      </c>
      <c r="J244" s="19" t="str">
        <f aca="false">IF(A244="","",IFERROR(INDEX(设定!$B$5:$B$14,MATCH(C244,设定!$A$5:$A$14,0)),0))</f>
        <v/>
      </c>
      <c r="K244" s="20" t="str">
        <f aca="false">IF(A244="","",G244*J244/1000)</f>
        <v/>
      </c>
      <c r="L244" s="20" t="str">
        <f aca="false">IF(A244="","",I244*IFERROR(INDEX(设定!$C$5:$C$14,MATCH(C244,设定!$A$5:$A$14,0)),0))</f>
        <v/>
      </c>
      <c r="M244" s="21" t="str">
        <f aca="false">IF(A244="","",IF(L244&gt;0,K244/L244,0))</f>
        <v/>
      </c>
      <c r="N244" s="21" t="str">
        <f aca="false">IF(OR(A244="",H244=""),"",IF(J244&gt;0,(H244-J244)/J244,0))</f>
        <v/>
      </c>
      <c r="O244" s="22" t="str">
        <f aca="false">IF(OR(A244="",H244=""),"",IF(H244&lt;J244,"⚠ 低于标示",""))</f>
        <v/>
      </c>
      <c r="P244" s="19" t="n">
        <f aca="false">IF(OR(A244="",H244=""),0,G244*(H244-J244))</f>
        <v>0</v>
      </c>
      <c r="Q244" s="19" t="n">
        <f aca="false">IF(OR(A244="",H244=""),0,G244*J244)</f>
        <v>0</v>
      </c>
      <c r="R244" s="19" t="n">
        <f aca="false">IF(OR(A244="",H244=""),0,IF(H244&lt;J244,1,0))</f>
        <v>0</v>
      </c>
    </row>
    <row r="245" customFormat="false" ht="15" hidden="false" customHeight="false" outlineLevel="0" collapsed="false">
      <c r="A245" s="16"/>
      <c r="B245" s="17"/>
      <c r="C245" s="18"/>
      <c r="D245" s="17"/>
      <c r="E245" s="17"/>
      <c r="F245" s="17"/>
      <c r="G245" s="17"/>
      <c r="H245" s="17"/>
      <c r="I245" s="19" t="str">
        <f aca="false">IF(A245="","",D245*(E245-F245))</f>
        <v/>
      </c>
      <c r="J245" s="19" t="str">
        <f aca="false">IF(A245="","",IFERROR(INDEX(设定!$B$5:$B$14,MATCH(C245,设定!$A$5:$A$14,0)),0))</f>
        <v/>
      </c>
      <c r="K245" s="20" t="str">
        <f aca="false">IF(A245="","",G245*J245/1000)</f>
        <v/>
      </c>
      <c r="L245" s="20" t="str">
        <f aca="false">IF(A245="","",I245*IFERROR(INDEX(设定!$C$5:$C$14,MATCH(C245,设定!$A$5:$A$14,0)),0))</f>
        <v/>
      </c>
      <c r="M245" s="21" t="str">
        <f aca="false">IF(A245="","",IF(L245&gt;0,K245/L245,0))</f>
        <v/>
      </c>
      <c r="N245" s="21" t="str">
        <f aca="false">IF(OR(A245="",H245=""),"",IF(J245&gt;0,(H245-J245)/J245,0))</f>
        <v/>
      </c>
      <c r="O245" s="22" t="str">
        <f aca="false">IF(OR(A245="",H245=""),"",IF(H245&lt;J245,"⚠ 低于标示",""))</f>
        <v/>
      </c>
      <c r="P245" s="19" t="n">
        <f aca="false">IF(OR(A245="",H245=""),0,G245*(H245-J245))</f>
        <v>0</v>
      </c>
      <c r="Q245" s="19" t="n">
        <f aca="false">IF(OR(A245="",H245=""),0,G245*J245)</f>
        <v>0</v>
      </c>
      <c r="R245" s="19" t="n">
        <f aca="false">IF(OR(A245="",H245=""),0,IF(H245&lt;J245,1,0))</f>
        <v>0</v>
      </c>
    </row>
    <row r="246" customFormat="false" ht="15" hidden="false" customHeight="false" outlineLevel="0" collapsed="false">
      <c r="A246" s="16"/>
      <c r="B246" s="17"/>
      <c r="C246" s="18"/>
      <c r="D246" s="17"/>
      <c r="E246" s="17"/>
      <c r="F246" s="17"/>
      <c r="G246" s="17"/>
      <c r="H246" s="17"/>
      <c r="I246" s="19" t="str">
        <f aca="false">IF(A246="","",D246*(E246-F246))</f>
        <v/>
      </c>
      <c r="J246" s="19" t="str">
        <f aca="false">IF(A246="","",IFERROR(INDEX(设定!$B$5:$B$14,MATCH(C246,设定!$A$5:$A$14,0)),0))</f>
        <v/>
      </c>
      <c r="K246" s="20" t="str">
        <f aca="false">IF(A246="","",G246*J246/1000)</f>
        <v/>
      </c>
      <c r="L246" s="20" t="str">
        <f aca="false">IF(A246="","",I246*IFERROR(INDEX(设定!$C$5:$C$14,MATCH(C246,设定!$A$5:$A$14,0)),0))</f>
        <v/>
      </c>
      <c r="M246" s="21" t="str">
        <f aca="false">IF(A246="","",IF(L246&gt;0,K246/L246,0))</f>
        <v/>
      </c>
      <c r="N246" s="21" t="str">
        <f aca="false">IF(OR(A246="",H246=""),"",IF(J246&gt;0,(H246-J246)/J246,0))</f>
        <v/>
      </c>
      <c r="O246" s="22" t="str">
        <f aca="false">IF(OR(A246="",H246=""),"",IF(H246&lt;J246,"⚠ 低于标示",""))</f>
        <v/>
      </c>
      <c r="P246" s="19" t="n">
        <f aca="false">IF(OR(A246="",H246=""),0,G246*(H246-J246))</f>
        <v>0</v>
      </c>
      <c r="Q246" s="19" t="n">
        <f aca="false">IF(OR(A246="",H246=""),0,G246*J246)</f>
        <v>0</v>
      </c>
      <c r="R246" s="19" t="n">
        <f aca="false">IF(OR(A246="",H246=""),0,IF(H246&lt;J246,1,0))</f>
        <v>0</v>
      </c>
    </row>
    <row r="247" customFormat="false" ht="15" hidden="false" customHeight="false" outlineLevel="0" collapsed="false">
      <c r="A247" s="16"/>
      <c r="B247" s="17"/>
      <c r="C247" s="18"/>
      <c r="D247" s="17"/>
      <c r="E247" s="17"/>
      <c r="F247" s="17"/>
      <c r="G247" s="17"/>
      <c r="H247" s="17"/>
      <c r="I247" s="19" t="str">
        <f aca="false">IF(A247="","",D247*(E247-F247))</f>
        <v/>
      </c>
      <c r="J247" s="19" t="str">
        <f aca="false">IF(A247="","",IFERROR(INDEX(设定!$B$5:$B$14,MATCH(C247,设定!$A$5:$A$14,0)),0))</f>
        <v/>
      </c>
      <c r="K247" s="20" t="str">
        <f aca="false">IF(A247="","",G247*J247/1000)</f>
        <v/>
      </c>
      <c r="L247" s="20" t="str">
        <f aca="false">IF(A247="","",I247*IFERROR(INDEX(设定!$C$5:$C$14,MATCH(C247,设定!$A$5:$A$14,0)),0))</f>
        <v/>
      </c>
      <c r="M247" s="21" t="str">
        <f aca="false">IF(A247="","",IF(L247&gt;0,K247/L247,0))</f>
        <v/>
      </c>
      <c r="N247" s="21" t="str">
        <f aca="false">IF(OR(A247="",H247=""),"",IF(J247&gt;0,(H247-J247)/J247,0))</f>
        <v/>
      </c>
      <c r="O247" s="22" t="str">
        <f aca="false">IF(OR(A247="",H247=""),"",IF(H247&lt;J247,"⚠ 低于标示",""))</f>
        <v/>
      </c>
      <c r="P247" s="19" t="n">
        <f aca="false">IF(OR(A247="",H247=""),0,G247*(H247-J247))</f>
        <v>0</v>
      </c>
      <c r="Q247" s="19" t="n">
        <f aca="false">IF(OR(A247="",H247=""),0,G247*J247)</f>
        <v>0</v>
      </c>
      <c r="R247" s="19" t="n">
        <f aca="false">IF(OR(A247="",H247=""),0,IF(H247&lt;J247,1,0))</f>
        <v>0</v>
      </c>
    </row>
    <row r="248" customFormat="false" ht="15" hidden="false" customHeight="false" outlineLevel="0" collapsed="false">
      <c r="A248" s="16"/>
      <c r="B248" s="17"/>
      <c r="C248" s="18"/>
      <c r="D248" s="17"/>
      <c r="E248" s="17"/>
      <c r="F248" s="17"/>
      <c r="G248" s="17"/>
      <c r="H248" s="17"/>
      <c r="I248" s="19" t="str">
        <f aca="false">IF(A248="","",D248*(E248-F248))</f>
        <v/>
      </c>
      <c r="J248" s="19" t="str">
        <f aca="false">IF(A248="","",IFERROR(INDEX(设定!$B$5:$B$14,MATCH(C248,设定!$A$5:$A$14,0)),0))</f>
        <v/>
      </c>
      <c r="K248" s="20" t="str">
        <f aca="false">IF(A248="","",G248*J248/1000)</f>
        <v/>
      </c>
      <c r="L248" s="20" t="str">
        <f aca="false">IF(A248="","",I248*IFERROR(INDEX(设定!$C$5:$C$14,MATCH(C248,设定!$A$5:$A$14,0)),0))</f>
        <v/>
      </c>
      <c r="M248" s="21" t="str">
        <f aca="false">IF(A248="","",IF(L248&gt;0,K248/L248,0))</f>
        <v/>
      </c>
      <c r="N248" s="21" t="str">
        <f aca="false">IF(OR(A248="",H248=""),"",IF(J248&gt;0,(H248-J248)/J248,0))</f>
        <v/>
      </c>
      <c r="O248" s="22" t="str">
        <f aca="false">IF(OR(A248="",H248=""),"",IF(H248&lt;J248,"⚠ 低于标示",""))</f>
        <v/>
      </c>
      <c r="P248" s="19" t="n">
        <f aca="false">IF(OR(A248="",H248=""),0,G248*(H248-J248))</f>
        <v>0</v>
      </c>
      <c r="Q248" s="19" t="n">
        <f aca="false">IF(OR(A248="",H248=""),0,G248*J248)</f>
        <v>0</v>
      </c>
      <c r="R248" s="19" t="n">
        <f aca="false">IF(OR(A248="",H248=""),0,IF(H248&lt;J248,1,0))</f>
        <v>0</v>
      </c>
    </row>
    <row r="249" customFormat="false" ht="15" hidden="false" customHeight="false" outlineLevel="0" collapsed="false">
      <c r="A249" s="16"/>
      <c r="B249" s="17"/>
      <c r="C249" s="18"/>
      <c r="D249" s="17"/>
      <c r="E249" s="17"/>
      <c r="F249" s="17"/>
      <c r="G249" s="17"/>
      <c r="H249" s="17"/>
      <c r="I249" s="19" t="str">
        <f aca="false">IF(A249="","",D249*(E249-F249))</f>
        <v/>
      </c>
      <c r="J249" s="19" t="str">
        <f aca="false">IF(A249="","",IFERROR(INDEX(设定!$B$5:$B$14,MATCH(C249,设定!$A$5:$A$14,0)),0))</f>
        <v/>
      </c>
      <c r="K249" s="20" t="str">
        <f aca="false">IF(A249="","",G249*J249/1000)</f>
        <v/>
      </c>
      <c r="L249" s="20" t="str">
        <f aca="false">IF(A249="","",I249*IFERROR(INDEX(设定!$C$5:$C$14,MATCH(C249,设定!$A$5:$A$14,0)),0))</f>
        <v/>
      </c>
      <c r="M249" s="21" t="str">
        <f aca="false">IF(A249="","",IF(L249&gt;0,K249/L249,0))</f>
        <v/>
      </c>
      <c r="N249" s="21" t="str">
        <f aca="false">IF(OR(A249="",H249=""),"",IF(J249&gt;0,(H249-J249)/J249,0))</f>
        <v/>
      </c>
      <c r="O249" s="22" t="str">
        <f aca="false">IF(OR(A249="",H249=""),"",IF(H249&lt;J249,"⚠ 低于标示",""))</f>
        <v/>
      </c>
      <c r="P249" s="19" t="n">
        <f aca="false">IF(OR(A249="",H249=""),0,G249*(H249-J249))</f>
        <v>0</v>
      </c>
      <c r="Q249" s="19" t="n">
        <f aca="false">IF(OR(A249="",H249=""),0,G249*J249)</f>
        <v>0</v>
      </c>
      <c r="R249" s="19" t="n">
        <f aca="false">IF(OR(A249="",H249=""),0,IF(H249&lt;J249,1,0))</f>
        <v>0</v>
      </c>
    </row>
    <row r="250" customFormat="false" ht="15" hidden="false" customHeight="false" outlineLevel="0" collapsed="false">
      <c r="A250" s="16"/>
      <c r="B250" s="17"/>
      <c r="C250" s="18"/>
      <c r="D250" s="17"/>
      <c r="E250" s="17"/>
      <c r="F250" s="17"/>
      <c r="G250" s="17"/>
      <c r="H250" s="17"/>
      <c r="I250" s="19" t="str">
        <f aca="false">IF(A250="","",D250*(E250-F250))</f>
        <v/>
      </c>
      <c r="J250" s="19" t="str">
        <f aca="false">IF(A250="","",IFERROR(INDEX(设定!$B$5:$B$14,MATCH(C250,设定!$A$5:$A$14,0)),0))</f>
        <v/>
      </c>
      <c r="K250" s="20" t="str">
        <f aca="false">IF(A250="","",G250*J250/1000)</f>
        <v/>
      </c>
      <c r="L250" s="20" t="str">
        <f aca="false">IF(A250="","",I250*IFERROR(INDEX(设定!$C$5:$C$14,MATCH(C250,设定!$A$5:$A$14,0)),0))</f>
        <v/>
      </c>
      <c r="M250" s="21" t="str">
        <f aca="false">IF(A250="","",IF(L250&gt;0,K250/L250,0))</f>
        <v/>
      </c>
      <c r="N250" s="21" t="str">
        <f aca="false">IF(OR(A250="",H250=""),"",IF(J250&gt;0,(H250-J250)/J250,0))</f>
        <v/>
      </c>
      <c r="O250" s="22" t="str">
        <f aca="false">IF(OR(A250="",H250=""),"",IF(H250&lt;J250,"⚠ 低于标示",""))</f>
        <v/>
      </c>
      <c r="P250" s="19" t="n">
        <f aca="false">IF(OR(A250="",H250=""),0,G250*(H250-J250))</f>
        <v>0</v>
      </c>
      <c r="Q250" s="19" t="n">
        <f aca="false">IF(OR(A250="",H250=""),0,G250*J250)</f>
        <v>0</v>
      </c>
      <c r="R250" s="19" t="n">
        <f aca="false">IF(OR(A250="",H250=""),0,IF(H250&lt;J250,1,0))</f>
        <v>0</v>
      </c>
    </row>
    <row r="251" customFormat="false" ht="15" hidden="false" customHeight="false" outlineLevel="0" collapsed="false">
      <c r="A251" s="16"/>
      <c r="B251" s="17"/>
      <c r="C251" s="18"/>
      <c r="D251" s="17"/>
      <c r="E251" s="17"/>
      <c r="F251" s="17"/>
      <c r="G251" s="17"/>
      <c r="H251" s="17"/>
      <c r="I251" s="19" t="str">
        <f aca="false">IF(A251="","",D251*(E251-F251))</f>
        <v/>
      </c>
      <c r="J251" s="19" t="str">
        <f aca="false">IF(A251="","",IFERROR(INDEX(设定!$B$5:$B$14,MATCH(C251,设定!$A$5:$A$14,0)),0))</f>
        <v/>
      </c>
      <c r="K251" s="20" t="str">
        <f aca="false">IF(A251="","",G251*J251/1000)</f>
        <v/>
      </c>
      <c r="L251" s="20" t="str">
        <f aca="false">IF(A251="","",I251*IFERROR(INDEX(设定!$C$5:$C$14,MATCH(C251,设定!$A$5:$A$14,0)),0))</f>
        <v/>
      </c>
      <c r="M251" s="21" t="str">
        <f aca="false">IF(A251="","",IF(L251&gt;0,K251/L251,0))</f>
        <v/>
      </c>
      <c r="N251" s="21" t="str">
        <f aca="false">IF(OR(A251="",H251=""),"",IF(J251&gt;0,(H251-J251)/J251,0))</f>
        <v/>
      </c>
      <c r="O251" s="22" t="str">
        <f aca="false">IF(OR(A251="",H251=""),"",IF(H251&lt;J251,"⚠ 低于标示",""))</f>
        <v/>
      </c>
      <c r="P251" s="19" t="n">
        <f aca="false">IF(OR(A251="",H251=""),0,G251*(H251-J251))</f>
        <v>0</v>
      </c>
      <c r="Q251" s="19" t="n">
        <f aca="false">IF(OR(A251="",H251=""),0,G251*J251)</f>
        <v>0</v>
      </c>
      <c r="R251" s="19" t="n">
        <f aca="false">IF(OR(A251="",H251=""),0,IF(H251&lt;J251,1,0))</f>
        <v>0</v>
      </c>
    </row>
    <row r="252" customFormat="false" ht="15" hidden="false" customHeight="false" outlineLevel="0" collapsed="false">
      <c r="A252" s="16"/>
      <c r="B252" s="17"/>
      <c r="C252" s="18"/>
      <c r="D252" s="17"/>
      <c r="E252" s="17"/>
      <c r="F252" s="17"/>
      <c r="G252" s="17"/>
      <c r="H252" s="17"/>
      <c r="I252" s="19" t="str">
        <f aca="false">IF(A252="","",D252*(E252-F252))</f>
        <v/>
      </c>
      <c r="J252" s="19" t="str">
        <f aca="false">IF(A252="","",IFERROR(INDEX(设定!$B$5:$B$14,MATCH(C252,设定!$A$5:$A$14,0)),0))</f>
        <v/>
      </c>
      <c r="K252" s="20" t="str">
        <f aca="false">IF(A252="","",G252*J252/1000)</f>
        <v/>
      </c>
      <c r="L252" s="20" t="str">
        <f aca="false">IF(A252="","",I252*IFERROR(INDEX(设定!$C$5:$C$14,MATCH(C252,设定!$A$5:$A$14,0)),0))</f>
        <v/>
      </c>
      <c r="M252" s="21" t="str">
        <f aca="false">IF(A252="","",IF(L252&gt;0,K252/L252,0))</f>
        <v/>
      </c>
      <c r="N252" s="21" t="str">
        <f aca="false">IF(OR(A252="",H252=""),"",IF(J252&gt;0,(H252-J252)/J252,0))</f>
        <v/>
      </c>
      <c r="O252" s="22" t="str">
        <f aca="false">IF(OR(A252="",H252=""),"",IF(H252&lt;J252,"⚠ 低于标示",""))</f>
        <v/>
      </c>
      <c r="P252" s="19" t="n">
        <f aca="false">IF(OR(A252="",H252=""),0,G252*(H252-J252))</f>
        <v>0</v>
      </c>
      <c r="Q252" s="19" t="n">
        <f aca="false">IF(OR(A252="",H252=""),0,G252*J252)</f>
        <v>0</v>
      </c>
      <c r="R252" s="19" t="n">
        <f aca="false">IF(OR(A252="",H252=""),0,IF(H252&lt;J252,1,0))</f>
        <v>0</v>
      </c>
    </row>
    <row r="253" customFormat="false" ht="15" hidden="false" customHeight="false" outlineLevel="0" collapsed="false">
      <c r="A253" s="16"/>
      <c r="B253" s="17"/>
      <c r="C253" s="18"/>
      <c r="D253" s="17"/>
      <c r="E253" s="17"/>
      <c r="F253" s="17"/>
      <c r="G253" s="17"/>
      <c r="H253" s="17"/>
      <c r="I253" s="19" t="str">
        <f aca="false">IF(A253="","",D253*(E253-F253))</f>
        <v/>
      </c>
      <c r="J253" s="19" t="str">
        <f aca="false">IF(A253="","",IFERROR(INDEX(设定!$B$5:$B$14,MATCH(C253,设定!$A$5:$A$14,0)),0))</f>
        <v/>
      </c>
      <c r="K253" s="20" t="str">
        <f aca="false">IF(A253="","",G253*J253/1000)</f>
        <v/>
      </c>
      <c r="L253" s="20" t="str">
        <f aca="false">IF(A253="","",I253*IFERROR(INDEX(设定!$C$5:$C$14,MATCH(C253,设定!$A$5:$A$14,0)),0))</f>
        <v/>
      </c>
      <c r="M253" s="21" t="str">
        <f aca="false">IF(A253="","",IF(L253&gt;0,K253/L253,0))</f>
        <v/>
      </c>
      <c r="N253" s="21" t="str">
        <f aca="false">IF(OR(A253="",H253=""),"",IF(J253&gt;0,(H253-J253)/J253,0))</f>
        <v/>
      </c>
      <c r="O253" s="22" t="str">
        <f aca="false">IF(OR(A253="",H253=""),"",IF(H253&lt;J253,"⚠ 低于标示",""))</f>
        <v/>
      </c>
      <c r="P253" s="19" t="n">
        <f aca="false">IF(OR(A253="",H253=""),0,G253*(H253-J253))</f>
        <v>0</v>
      </c>
      <c r="Q253" s="19" t="n">
        <f aca="false">IF(OR(A253="",H253=""),0,G253*J253)</f>
        <v>0</v>
      </c>
      <c r="R253" s="19" t="n">
        <f aca="false">IF(OR(A253="",H253=""),0,IF(H253&lt;J253,1,0))</f>
        <v>0</v>
      </c>
    </row>
    <row r="254" customFormat="false" ht="15" hidden="false" customHeight="false" outlineLevel="0" collapsed="false">
      <c r="A254" s="16"/>
      <c r="B254" s="17"/>
      <c r="C254" s="18"/>
      <c r="D254" s="17"/>
      <c r="E254" s="17"/>
      <c r="F254" s="17"/>
      <c r="G254" s="17"/>
      <c r="H254" s="17"/>
      <c r="I254" s="19" t="str">
        <f aca="false">IF(A254="","",D254*(E254-F254))</f>
        <v/>
      </c>
      <c r="J254" s="19" t="str">
        <f aca="false">IF(A254="","",IFERROR(INDEX(设定!$B$5:$B$14,MATCH(C254,设定!$A$5:$A$14,0)),0))</f>
        <v/>
      </c>
      <c r="K254" s="20" t="str">
        <f aca="false">IF(A254="","",G254*J254/1000)</f>
        <v/>
      </c>
      <c r="L254" s="20" t="str">
        <f aca="false">IF(A254="","",I254*IFERROR(INDEX(设定!$C$5:$C$14,MATCH(C254,设定!$A$5:$A$14,0)),0))</f>
        <v/>
      </c>
      <c r="M254" s="21" t="str">
        <f aca="false">IF(A254="","",IF(L254&gt;0,K254/L254,0))</f>
        <v/>
      </c>
      <c r="N254" s="21" t="str">
        <f aca="false">IF(OR(A254="",H254=""),"",IF(J254&gt;0,(H254-J254)/J254,0))</f>
        <v/>
      </c>
      <c r="O254" s="22" t="str">
        <f aca="false">IF(OR(A254="",H254=""),"",IF(H254&lt;J254,"⚠ 低于标示",""))</f>
        <v/>
      </c>
      <c r="P254" s="19" t="n">
        <f aca="false">IF(OR(A254="",H254=""),0,G254*(H254-J254))</f>
        <v>0</v>
      </c>
      <c r="Q254" s="19" t="n">
        <f aca="false">IF(OR(A254="",H254=""),0,G254*J254)</f>
        <v>0</v>
      </c>
      <c r="R254" s="19" t="n">
        <f aca="false">IF(OR(A254="",H254=""),0,IF(H254&lt;J254,1,0))</f>
        <v>0</v>
      </c>
    </row>
    <row r="255" customFormat="false" ht="15" hidden="false" customHeight="false" outlineLevel="0" collapsed="false">
      <c r="A255" s="16"/>
      <c r="B255" s="17"/>
      <c r="C255" s="18"/>
      <c r="D255" s="17"/>
      <c r="E255" s="17"/>
      <c r="F255" s="17"/>
      <c r="G255" s="17"/>
      <c r="H255" s="17"/>
      <c r="I255" s="19" t="str">
        <f aca="false">IF(A255="","",D255*(E255-F255))</f>
        <v/>
      </c>
      <c r="J255" s="19" t="str">
        <f aca="false">IF(A255="","",IFERROR(INDEX(设定!$B$5:$B$14,MATCH(C255,设定!$A$5:$A$14,0)),0))</f>
        <v/>
      </c>
      <c r="K255" s="20" t="str">
        <f aca="false">IF(A255="","",G255*J255/1000)</f>
        <v/>
      </c>
      <c r="L255" s="20" t="str">
        <f aca="false">IF(A255="","",I255*IFERROR(INDEX(设定!$C$5:$C$14,MATCH(C255,设定!$A$5:$A$14,0)),0))</f>
        <v/>
      </c>
      <c r="M255" s="21" t="str">
        <f aca="false">IF(A255="","",IF(L255&gt;0,K255/L255,0))</f>
        <v/>
      </c>
      <c r="N255" s="21" t="str">
        <f aca="false">IF(OR(A255="",H255=""),"",IF(J255&gt;0,(H255-J255)/J255,0))</f>
        <v/>
      </c>
      <c r="O255" s="22" t="str">
        <f aca="false">IF(OR(A255="",H255=""),"",IF(H255&lt;J255,"⚠ 低于标示",""))</f>
        <v/>
      </c>
      <c r="P255" s="19" t="n">
        <f aca="false">IF(OR(A255="",H255=""),0,G255*(H255-J255))</f>
        <v>0</v>
      </c>
      <c r="Q255" s="19" t="n">
        <f aca="false">IF(OR(A255="",H255=""),0,G255*J255)</f>
        <v>0</v>
      </c>
      <c r="R255" s="19" t="n">
        <f aca="false">IF(OR(A255="",H255=""),0,IF(H255&lt;J255,1,0))</f>
        <v>0</v>
      </c>
    </row>
    <row r="256" customFormat="false" ht="15" hidden="false" customHeight="false" outlineLevel="0" collapsed="false">
      <c r="A256" s="16"/>
      <c r="B256" s="17"/>
      <c r="C256" s="18"/>
      <c r="D256" s="17"/>
      <c r="E256" s="17"/>
      <c r="F256" s="17"/>
      <c r="G256" s="17"/>
      <c r="H256" s="17"/>
      <c r="I256" s="19" t="str">
        <f aca="false">IF(A256="","",D256*(E256-F256))</f>
        <v/>
      </c>
      <c r="J256" s="19" t="str">
        <f aca="false">IF(A256="","",IFERROR(INDEX(设定!$B$5:$B$14,MATCH(C256,设定!$A$5:$A$14,0)),0))</f>
        <v/>
      </c>
      <c r="K256" s="20" t="str">
        <f aca="false">IF(A256="","",G256*J256/1000)</f>
        <v/>
      </c>
      <c r="L256" s="20" t="str">
        <f aca="false">IF(A256="","",I256*IFERROR(INDEX(设定!$C$5:$C$14,MATCH(C256,设定!$A$5:$A$14,0)),0))</f>
        <v/>
      </c>
      <c r="M256" s="21" t="str">
        <f aca="false">IF(A256="","",IF(L256&gt;0,K256/L256,0))</f>
        <v/>
      </c>
      <c r="N256" s="21" t="str">
        <f aca="false">IF(OR(A256="",H256=""),"",IF(J256&gt;0,(H256-J256)/J256,0))</f>
        <v/>
      </c>
      <c r="O256" s="22" t="str">
        <f aca="false">IF(OR(A256="",H256=""),"",IF(H256&lt;J256,"⚠ 低于标示",""))</f>
        <v/>
      </c>
      <c r="P256" s="19" t="n">
        <f aca="false">IF(OR(A256="",H256=""),0,G256*(H256-J256))</f>
        <v>0</v>
      </c>
      <c r="Q256" s="19" t="n">
        <f aca="false">IF(OR(A256="",H256=""),0,G256*J256)</f>
        <v>0</v>
      </c>
      <c r="R256" s="19" t="n">
        <f aca="false">IF(OR(A256="",H256=""),0,IF(H256&lt;J256,1,0))</f>
        <v>0</v>
      </c>
    </row>
    <row r="257" customFormat="false" ht="15" hidden="false" customHeight="false" outlineLevel="0" collapsed="false">
      <c r="A257" s="16"/>
      <c r="B257" s="17"/>
      <c r="C257" s="18"/>
      <c r="D257" s="17"/>
      <c r="E257" s="17"/>
      <c r="F257" s="17"/>
      <c r="G257" s="17"/>
      <c r="H257" s="17"/>
      <c r="I257" s="19" t="str">
        <f aca="false">IF(A257="","",D257*(E257-F257))</f>
        <v/>
      </c>
      <c r="J257" s="19" t="str">
        <f aca="false">IF(A257="","",IFERROR(INDEX(设定!$B$5:$B$14,MATCH(C257,设定!$A$5:$A$14,0)),0))</f>
        <v/>
      </c>
      <c r="K257" s="20" t="str">
        <f aca="false">IF(A257="","",G257*J257/1000)</f>
        <v/>
      </c>
      <c r="L257" s="20" t="str">
        <f aca="false">IF(A257="","",I257*IFERROR(INDEX(设定!$C$5:$C$14,MATCH(C257,设定!$A$5:$A$14,0)),0))</f>
        <v/>
      </c>
      <c r="M257" s="21" t="str">
        <f aca="false">IF(A257="","",IF(L257&gt;0,K257/L257,0))</f>
        <v/>
      </c>
      <c r="N257" s="21" t="str">
        <f aca="false">IF(OR(A257="",H257=""),"",IF(J257&gt;0,(H257-J257)/J257,0))</f>
        <v/>
      </c>
      <c r="O257" s="22" t="str">
        <f aca="false">IF(OR(A257="",H257=""),"",IF(H257&lt;J257,"⚠ 低于标示",""))</f>
        <v/>
      </c>
      <c r="P257" s="19" t="n">
        <f aca="false">IF(OR(A257="",H257=""),0,G257*(H257-J257))</f>
        <v>0</v>
      </c>
      <c r="Q257" s="19" t="n">
        <f aca="false">IF(OR(A257="",H257=""),0,G257*J257)</f>
        <v>0</v>
      </c>
      <c r="R257" s="19" t="n">
        <f aca="false">IF(OR(A257="",H257=""),0,IF(H257&lt;J257,1,0))</f>
        <v>0</v>
      </c>
    </row>
    <row r="258" customFormat="false" ht="15" hidden="false" customHeight="false" outlineLevel="0" collapsed="false">
      <c r="A258" s="16"/>
      <c r="B258" s="17"/>
      <c r="C258" s="18"/>
      <c r="D258" s="17"/>
      <c r="E258" s="17"/>
      <c r="F258" s="17"/>
      <c r="G258" s="17"/>
      <c r="H258" s="17"/>
      <c r="I258" s="19" t="str">
        <f aca="false">IF(A258="","",D258*(E258-F258))</f>
        <v/>
      </c>
      <c r="J258" s="19" t="str">
        <f aca="false">IF(A258="","",IFERROR(INDEX(设定!$B$5:$B$14,MATCH(C258,设定!$A$5:$A$14,0)),0))</f>
        <v/>
      </c>
      <c r="K258" s="20" t="str">
        <f aca="false">IF(A258="","",G258*J258/1000)</f>
        <v/>
      </c>
      <c r="L258" s="20" t="str">
        <f aca="false">IF(A258="","",I258*IFERROR(INDEX(设定!$C$5:$C$14,MATCH(C258,设定!$A$5:$A$14,0)),0))</f>
        <v/>
      </c>
      <c r="M258" s="21" t="str">
        <f aca="false">IF(A258="","",IF(L258&gt;0,K258/L258,0))</f>
        <v/>
      </c>
      <c r="N258" s="21" t="str">
        <f aca="false">IF(OR(A258="",H258=""),"",IF(J258&gt;0,(H258-J258)/J258,0))</f>
        <v/>
      </c>
      <c r="O258" s="22" t="str">
        <f aca="false">IF(OR(A258="",H258=""),"",IF(H258&lt;J258,"⚠ 低于标示",""))</f>
        <v/>
      </c>
      <c r="P258" s="19" t="n">
        <f aca="false">IF(OR(A258="",H258=""),0,G258*(H258-J258))</f>
        <v>0</v>
      </c>
      <c r="Q258" s="19" t="n">
        <f aca="false">IF(OR(A258="",H258=""),0,G258*J258)</f>
        <v>0</v>
      </c>
      <c r="R258" s="19" t="n">
        <f aca="false">IF(OR(A258="",H258=""),0,IF(H258&lt;J258,1,0))</f>
        <v>0</v>
      </c>
    </row>
    <row r="259" customFormat="false" ht="15" hidden="false" customHeight="false" outlineLevel="0" collapsed="false">
      <c r="A259" s="16"/>
      <c r="B259" s="17"/>
      <c r="C259" s="18"/>
      <c r="D259" s="17"/>
      <c r="E259" s="17"/>
      <c r="F259" s="17"/>
      <c r="G259" s="17"/>
      <c r="H259" s="17"/>
      <c r="I259" s="19" t="str">
        <f aca="false">IF(A259="","",D259*(E259-F259))</f>
        <v/>
      </c>
      <c r="J259" s="19" t="str">
        <f aca="false">IF(A259="","",IFERROR(INDEX(设定!$B$5:$B$14,MATCH(C259,设定!$A$5:$A$14,0)),0))</f>
        <v/>
      </c>
      <c r="K259" s="20" t="str">
        <f aca="false">IF(A259="","",G259*J259/1000)</f>
        <v/>
      </c>
      <c r="L259" s="20" t="str">
        <f aca="false">IF(A259="","",I259*IFERROR(INDEX(设定!$C$5:$C$14,MATCH(C259,设定!$A$5:$A$14,0)),0))</f>
        <v/>
      </c>
      <c r="M259" s="21" t="str">
        <f aca="false">IF(A259="","",IF(L259&gt;0,K259/L259,0))</f>
        <v/>
      </c>
      <c r="N259" s="21" t="str">
        <f aca="false">IF(OR(A259="",H259=""),"",IF(J259&gt;0,(H259-J259)/J259,0))</f>
        <v/>
      </c>
      <c r="O259" s="22" t="str">
        <f aca="false">IF(OR(A259="",H259=""),"",IF(H259&lt;J259,"⚠ 低于标示",""))</f>
        <v/>
      </c>
      <c r="P259" s="19" t="n">
        <f aca="false">IF(OR(A259="",H259=""),0,G259*(H259-J259))</f>
        <v>0</v>
      </c>
      <c r="Q259" s="19" t="n">
        <f aca="false">IF(OR(A259="",H259=""),0,G259*J259)</f>
        <v>0</v>
      </c>
      <c r="R259" s="19" t="n">
        <f aca="false">IF(OR(A259="",H259=""),0,IF(H259&lt;J259,1,0))</f>
        <v>0</v>
      </c>
    </row>
    <row r="260" customFormat="false" ht="15" hidden="false" customHeight="false" outlineLevel="0" collapsed="false">
      <c r="A260" s="16"/>
      <c r="B260" s="17"/>
      <c r="C260" s="18"/>
      <c r="D260" s="17"/>
      <c r="E260" s="17"/>
      <c r="F260" s="17"/>
      <c r="G260" s="17"/>
      <c r="H260" s="17"/>
      <c r="I260" s="19" t="str">
        <f aca="false">IF(A260="","",D260*(E260-F260))</f>
        <v/>
      </c>
      <c r="J260" s="19" t="str">
        <f aca="false">IF(A260="","",IFERROR(INDEX(设定!$B$5:$B$14,MATCH(C260,设定!$A$5:$A$14,0)),0))</f>
        <v/>
      </c>
      <c r="K260" s="20" t="str">
        <f aca="false">IF(A260="","",G260*J260/1000)</f>
        <v/>
      </c>
      <c r="L260" s="20" t="str">
        <f aca="false">IF(A260="","",I260*IFERROR(INDEX(设定!$C$5:$C$14,MATCH(C260,设定!$A$5:$A$14,0)),0))</f>
        <v/>
      </c>
      <c r="M260" s="21" t="str">
        <f aca="false">IF(A260="","",IF(L260&gt;0,K260/L260,0))</f>
        <v/>
      </c>
      <c r="N260" s="21" t="str">
        <f aca="false">IF(OR(A260="",H260=""),"",IF(J260&gt;0,(H260-J260)/J260,0))</f>
        <v/>
      </c>
      <c r="O260" s="22" t="str">
        <f aca="false">IF(OR(A260="",H260=""),"",IF(H260&lt;J260,"⚠ 低于标示",""))</f>
        <v/>
      </c>
      <c r="P260" s="19" t="n">
        <f aca="false">IF(OR(A260="",H260=""),0,G260*(H260-J260))</f>
        <v>0</v>
      </c>
      <c r="Q260" s="19" t="n">
        <f aca="false">IF(OR(A260="",H260=""),0,G260*J260)</f>
        <v>0</v>
      </c>
      <c r="R260" s="19" t="n">
        <f aca="false">IF(OR(A260="",H260=""),0,IF(H260&lt;J260,1,0))</f>
        <v>0</v>
      </c>
    </row>
    <row r="261" customFormat="false" ht="15" hidden="false" customHeight="false" outlineLevel="0" collapsed="false">
      <c r="A261" s="16"/>
      <c r="B261" s="17"/>
      <c r="C261" s="18"/>
      <c r="D261" s="17"/>
      <c r="E261" s="17"/>
      <c r="F261" s="17"/>
      <c r="G261" s="17"/>
      <c r="H261" s="17"/>
      <c r="I261" s="19" t="str">
        <f aca="false">IF(A261="","",D261*(E261-F261))</f>
        <v/>
      </c>
      <c r="J261" s="19" t="str">
        <f aca="false">IF(A261="","",IFERROR(INDEX(设定!$B$5:$B$14,MATCH(C261,设定!$A$5:$A$14,0)),0))</f>
        <v/>
      </c>
      <c r="K261" s="20" t="str">
        <f aca="false">IF(A261="","",G261*J261/1000)</f>
        <v/>
      </c>
      <c r="L261" s="20" t="str">
        <f aca="false">IF(A261="","",I261*IFERROR(INDEX(设定!$C$5:$C$14,MATCH(C261,设定!$A$5:$A$14,0)),0))</f>
        <v/>
      </c>
      <c r="M261" s="21" t="str">
        <f aca="false">IF(A261="","",IF(L261&gt;0,K261/L261,0))</f>
        <v/>
      </c>
      <c r="N261" s="21" t="str">
        <f aca="false">IF(OR(A261="",H261=""),"",IF(J261&gt;0,(H261-J261)/J261,0))</f>
        <v/>
      </c>
      <c r="O261" s="22" t="str">
        <f aca="false">IF(OR(A261="",H261=""),"",IF(H261&lt;J261,"⚠ 低于标示",""))</f>
        <v/>
      </c>
      <c r="P261" s="19" t="n">
        <f aca="false">IF(OR(A261="",H261=""),0,G261*(H261-J261))</f>
        <v>0</v>
      </c>
      <c r="Q261" s="19" t="n">
        <f aca="false">IF(OR(A261="",H261=""),0,G261*J261)</f>
        <v>0</v>
      </c>
      <c r="R261" s="19" t="n">
        <f aca="false">IF(OR(A261="",H261=""),0,IF(H261&lt;J261,1,0))</f>
        <v>0</v>
      </c>
    </row>
    <row r="262" customFormat="false" ht="15" hidden="false" customHeight="false" outlineLevel="0" collapsed="false">
      <c r="A262" s="16"/>
      <c r="B262" s="17"/>
      <c r="C262" s="18"/>
      <c r="D262" s="17"/>
      <c r="E262" s="17"/>
      <c r="F262" s="17"/>
      <c r="G262" s="17"/>
      <c r="H262" s="17"/>
      <c r="I262" s="19" t="str">
        <f aca="false">IF(A262="","",D262*(E262-F262))</f>
        <v/>
      </c>
      <c r="J262" s="19" t="str">
        <f aca="false">IF(A262="","",IFERROR(INDEX(设定!$B$5:$B$14,MATCH(C262,设定!$A$5:$A$14,0)),0))</f>
        <v/>
      </c>
      <c r="K262" s="20" t="str">
        <f aca="false">IF(A262="","",G262*J262/1000)</f>
        <v/>
      </c>
      <c r="L262" s="20" t="str">
        <f aca="false">IF(A262="","",I262*IFERROR(INDEX(设定!$C$5:$C$14,MATCH(C262,设定!$A$5:$A$14,0)),0))</f>
        <v/>
      </c>
      <c r="M262" s="21" t="str">
        <f aca="false">IF(A262="","",IF(L262&gt;0,K262/L262,0))</f>
        <v/>
      </c>
      <c r="N262" s="21" t="str">
        <f aca="false">IF(OR(A262="",H262=""),"",IF(J262&gt;0,(H262-J262)/J262,0))</f>
        <v/>
      </c>
      <c r="O262" s="22" t="str">
        <f aca="false">IF(OR(A262="",H262=""),"",IF(H262&lt;J262,"⚠ 低于标示",""))</f>
        <v/>
      </c>
      <c r="P262" s="19" t="n">
        <f aca="false">IF(OR(A262="",H262=""),0,G262*(H262-J262))</f>
        <v>0</v>
      </c>
      <c r="Q262" s="19" t="n">
        <f aca="false">IF(OR(A262="",H262=""),0,G262*J262)</f>
        <v>0</v>
      </c>
      <c r="R262" s="19" t="n">
        <f aca="false">IF(OR(A262="",H262=""),0,IF(H262&lt;J262,1,0))</f>
        <v>0</v>
      </c>
    </row>
    <row r="263" customFormat="false" ht="15" hidden="false" customHeight="false" outlineLevel="0" collapsed="false">
      <c r="A263" s="16"/>
      <c r="B263" s="17"/>
      <c r="C263" s="18"/>
      <c r="D263" s="17"/>
      <c r="E263" s="17"/>
      <c r="F263" s="17"/>
      <c r="G263" s="17"/>
      <c r="H263" s="17"/>
      <c r="I263" s="19" t="str">
        <f aca="false">IF(A263="","",D263*(E263-F263))</f>
        <v/>
      </c>
      <c r="J263" s="19" t="str">
        <f aca="false">IF(A263="","",IFERROR(INDEX(设定!$B$5:$B$14,MATCH(C263,设定!$A$5:$A$14,0)),0))</f>
        <v/>
      </c>
      <c r="K263" s="20" t="str">
        <f aca="false">IF(A263="","",G263*J263/1000)</f>
        <v/>
      </c>
      <c r="L263" s="20" t="str">
        <f aca="false">IF(A263="","",I263*IFERROR(INDEX(设定!$C$5:$C$14,MATCH(C263,设定!$A$5:$A$14,0)),0))</f>
        <v/>
      </c>
      <c r="M263" s="21" t="str">
        <f aca="false">IF(A263="","",IF(L263&gt;0,K263/L263,0))</f>
        <v/>
      </c>
      <c r="N263" s="21" t="str">
        <f aca="false">IF(OR(A263="",H263=""),"",IF(J263&gt;0,(H263-J263)/J263,0))</f>
        <v/>
      </c>
      <c r="O263" s="22" t="str">
        <f aca="false">IF(OR(A263="",H263=""),"",IF(H263&lt;J263,"⚠ 低于标示",""))</f>
        <v/>
      </c>
      <c r="P263" s="19" t="n">
        <f aca="false">IF(OR(A263="",H263=""),0,G263*(H263-J263))</f>
        <v>0</v>
      </c>
      <c r="Q263" s="19" t="n">
        <f aca="false">IF(OR(A263="",H263=""),0,G263*J263)</f>
        <v>0</v>
      </c>
      <c r="R263" s="19" t="n">
        <f aca="false">IF(OR(A263="",H263=""),0,IF(H263&lt;J263,1,0))</f>
        <v>0</v>
      </c>
    </row>
    <row r="264" customFormat="false" ht="15" hidden="false" customHeight="false" outlineLevel="0" collapsed="false">
      <c r="A264" s="16"/>
      <c r="B264" s="17"/>
      <c r="C264" s="18"/>
      <c r="D264" s="17"/>
      <c r="E264" s="17"/>
      <c r="F264" s="17"/>
      <c r="G264" s="17"/>
      <c r="H264" s="17"/>
      <c r="I264" s="19" t="str">
        <f aca="false">IF(A264="","",D264*(E264-F264))</f>
        <v/>
      </c>
      <c r="J264" s="19" t="str">
        <f aca="false">IF(A264="","",IFERROR(INDEX(设定!$B$5:$B$14,MATCH(C264,设定!$A$5:$A$14,0)),0))</f>
        <v/>
      </c>
      <c r="K264" s="20" t="str">
        <f aca="false">IF(A264="","",G264*J264/1000)</f>
        <v/>
      </c>
      <c r="L264" s="20" t="str">
        <f aca="false">IF(A264="","",I264*IFERROR(INDEX(设定!$C$5:$C$14,MATCH(C264,设定!$A$5:$A$14,0)),0))</f>
        <v/>
      </c>
      <c r="M264" s="21" t="str">
        <f aca="false">IF(A264="","",IF(L264&gt;0,K264/L264,0))</f>
        <v/>
      </c>
      <c r="N264" s="21" t="str">
        <f aca="false">IF(OR(A264="",H264=""),"",IF(J264&gt;0,(H264-J264)/J264,0))</f>
        <v/>
      </c>
      <c r="O264" s="22" t="str">
        <f aca="false">IF(OR(A264="",H264=""),"",IF(H264&lt;J264,"⚠ 低于标示",""))</f>
        <v/>
      </c>
      <c r="P264" s="19" t="n">
        <f aca="false">IF(OR(A264="",H264=""),0,G264*(H264-J264))</f>
        <v>0</v>
      </c>
      <c r="Q264" s="19" t="n">
        <f aca="false">IF(OR(A264="",H264=""),0,G264*J264)</f>
        <v>0</v>
      </c>
      <c r="R264" s="19" t="n">
        <f aca="false">IF(OR(A264="",H264=""),0,IF(H264&lt;J264,1,0))</f>
        <v>0</v>
      </c>
    </row>
    <row r="265" customFormat="false" ht="15" hidden="false" customHeight="false" outlineLevel="0" collapsed="false">
      <c r="A265" s="16"/>
      <c r="B265" s="17"/>
      <c r="C265" s="18"/>
      <c r="D265" s="17"/>
      <c r="E265" s="17"/>
      <c r="F265" s="17"/>
      <c r="G265" s="17"/>
      <c r="H265" s="17"/>
      <c r="I265" s="19" t="str">
        <f aca="false">IF(A265="","",D265*(E265-F265))</f>
        <v/>
      </c>
      <c r="J265" s="19" t="str">
        <f aca="false">IF(A265="","",IFERROR(INDEX(设定!$B$5:$B$14,MATCH(C265,设定!$A$5:$A$14,0)),0))</f>
        <v/>
      </c>
      <c r="K265" s="20" t="str">
        <f aca="false">IF(A265="","",G265*J265/1000)</f>
        <v/>
      </c>
      <c r="L265" s="20" t="str">
        <f aca="false">IF(A265="","",I265*IFERROR(INDEX(设定!$C$5:$C$14,MATCH(C265,设定!$A$5:$A$14,0)),0))</f>
        <v/>
      </c>
      <c r="M265" s="21" t="str">
        <f aca="false">IF(A265="","",IF(L265&gt;0,K265/L265,0))</f>
        <v/>
      </c>
      <c r="N265" s="21" t="str">
        <f aca="false">IF(OR(A265="",H265=""),"",IF(J265&gt;0,(H265-J265)/J265,0))</f>
        <v/>
      </c>
      <c r="O265" s="22" t="str">
        <f aca="false">IF(OR(A265="",H265=""),"",IF(H265&lt;J265,"⚠ 低于标示",""))</f>
        <v/>
      </c>
      <c r="P265" s="19" t="n">
        <f aca="false">IF(OR(A265="",H265=""),0,G265*(H265-J265))</f>
        <v>0</v>
      </c>
      <c r="Q265" s="19" t="n">
        <f aca="false">IF(OR(A265="",H265=""),0,G265*J265)</f>
        <v>0</v>
      </c>
      <c r="R265" s="19" t="n">
        <f aca="false">IF(OR(A265="",H265=""),0,IF(H265&lt;J265,1,0))</f>
        <v>0</v>
      </c>
    </row>
    <row r="266" customFormat="false" ht="15" hidden="false" customHeight="false" outlineLevel="0" collapsed="false">
      <c r="A266" s="16"/>
      <c r="B266" s="17"/>
      <c r="C266" s="18"/>
      <c r="D266" s="17"/>
      <c r="E266" s="17"/>
      <c r="F266" s="17"/>
      <c r="G266" s="17"/>
      <c r="H266" s="17"/>
      <c r="I266" s="19" t="str">
        <f aca="false">IF(A266="","",D266*(E266-F266))</f>
        <v/>
      </c>
      <c r="J266" s="19" t="str">
        <f aca="false">IF(A266="","",IFERROR(INDEX(设定!$B$5:$B$14,MATCH(C266,设定!$A$5:$A$14,0)),0))</f>
        <v/>
      </c>
      <c r="K266" s="20" t="str">
        <f aca="false">IF(A266="","",G266*J266/1000)</f>
        <v/>
      </c>
      <c r="L266" s="20" t="str">
        <f aca="false">IF(A266="","",I266*IFERROR(INDEX(设定!$C$5:$C$14,MATCH(C266,设定!$A$5:$A$14,0)),0))</f>
        <v/>
      </c>
      <c r="M266" s="21" t="str">
        <f aca="false">IF(A266="","",IF(L266&gt;0,K266/L266,0))</f>
        <v/>
      </c>
      <c r="N266" s="21" t="str">
        <f aca="false">IF(OR(A266="",H266=""),"",IF(J266&gt;0,(H266-J266)/J266,0))</f>
        <v/>
      </c>
      <c r="O266" s="22" t="str">
        <f aca="false">IF(OR(A266="",H266=""),"",IF(H266&lt;J266,"⚠ 低于标示",""))</f>
        <v/>
      </c>
      <c r="P266" s="19" t="n">
        <f aca="false">IF(OR(A266="",H266=""),0,G266*(H266-J266))</f>
        <v>0</v>
      </c>
      <c r="Q266" s="19" t="n">
        <f aca="false">IF(OR(A266="",H266=""),0,G266*J266)</f>
        <v>0</v>
      </c>
      <c r="R266" s="19" t="n">
        <f aca="false">IF(OR(A266="",H266=""),0,IF(H266&lt;J266,1,0))</f>
        <v>0</v>
      </c>
    </row>
    <row r="267" customFormat="false" ht="15" hidden="false" customHeight="false" outlineLevel="0" collapsed="false">
      <c r="A267" s="16"/>
      <c r="B267" s="17"/>
      <c r="C267" s="18"/>
      <c r="D267" s="17"/>
      <c r="E267" s="17"/>
      <c r="F267" s="17"/>
      <c r="G267" s="17"/>
      <c r="H267" s="17"/>
      <c r="I267" s="19" t="str">
        <f aca="false">IF(A267="","",D267*(E267-F267))</f>
        <v/>
      </c>
      <c r="J267" s="19" t="str">
        <f aca="false">IF(A267="","",IFERROR(INDEX(设定!$B$5:$B$14,MATCH(C267,设定!$A$5:$A$14,0)),0))</f>
        <v/>
      </c>
      <c r="K267" s="20" t="str">
        <f aca="false">IF(A267="","",G267*J267/1000)</f>
        <v/>
      </c>
      <c r="L267" s="20" t="str">
        <f aca="false">IF(A267="","",I267*IFERROR(INDEX(设定!$C$5:$C$14,MATCH(C267,设定!$A$5:$A$14,0)),0))</f>
        <v/>
      </c>
      <c r="M267" s="21" t="str">
        <f aca="false">IF(A267="","",IF(L267&gt;0,K267/L267,0))</f>
        <v/>
      </c>
      <c r="N267" s="21" t="str">
        <f aca="false">IF(OR(A267="",H267=""),"",IF(J267&gt;0,(H267-J267)/J267,0))</f>
        <v/>
      </c>
      <c r="O267" s="22" t="str">
        <f aca="false">IF(OR(A267="",H267=""),"",IF(H267&lt;J267,"⚠ 低于标示",""))</f>
        <v/>
      </c>
      <c r="P267" s="19" t="n">
        <f aca="false">IF(OR(A267="",H267=""),0,G267*(H267-J267))</f>
        <v>0</v>
      </c>
      <c r="Q267" s="19" t="n">
        <f aca="false">IF(OR(A267="",H267=""),0,G267*J267)</f>
        <v>0</v>
      </c>
      <c r="R267" s="19" t="n">
        <f aca="false">IF(OR(A267="",H267=""),0,IF(H267&lt;J267,1,0))</f>
        <v>0</v>
      </c>
    </row>
    <row r="268" customFormat="false" ht="15" hidden="false" customHeight="false" outlineLevel="0" collapsed="false">
      <c r="A268" s="16"/>
      <c r="B268" s="17"/>
      <c r="C268" s="18"/>
      <c r="D268" s="17"/>
      <c r="E268" s="17"/>
      <c r="F268" s="17"/>
      <c r="G268" s="17"/>
      <c r="H268" s="17"/>
      <c r="I268" s="19" t="str">
        <f aca="false">IF(A268="","",D268*(E268-F268))</f>
        <v/>
      </c>
      <c r="J268" s="19" t="str">
        <f aca="false">IF(A268="","",IFERROR(INDEX(设定!$B$5:$B$14,MATCH(C268,设定!$A$5:$A$14,0)),0))</f>
        <v/>
      </c>
      <c r="K268" s="20" t="str">
        <f aca="false">IF(A268="","",G268*J268/1000)</f>
        <v/>
      </c>
      <c r="L268" s="20" t="str">
        <f aca="false">IF(A268="","",I268*IFERROR(INDEX(设定!$C$5:$C$14,MATCH(C268,设定!$A$5:$A$14,0)),0))</f>
        <v/>
      </c>
      <c r="M268" s="21" t="str">
        <f aca="false">IF(A268="","",IF(L268&gt;0,K268/L268,0))</f>
        <v/>
      </c>
      <c r="N268" s="21" t="str">
        <f aca="false">IF(OR(A268="",H268=""),"",IF(J268&gt;0,(H268-J268)/J268,0))</f>
        <v/>
      </c>
      <c r="O268" s="22" t="str">
        <f aca="false">IF(OR(A268="",H268=""),"",IF(H268&lt;J268,"⚠ 低于标示",""))</f>
        <v/>
      </c>
      <c r="P268" s="19" t="n">
        <f aca="false">IF(OR(A268="",H268=""),0,G268*(H268-J268))</f>
        <v>0</v>
      </c>
      <c r="Q268" s="19" t="n">
        <f aca="false">IF(OR(A268="",H268=""),0,G268*J268)</f>
        <v>0</v>
      </c>
      <c r="R268" s="19" t="n">
        <f aca="false">IF(OR(A268="",H268=""),0,IF(H268&lt;J268,1,0))</f>
        <v>0</v>
      </c>
    </row>
    <row r="269" customFormat="false" ht="15" hidden="false" customHeight="false" outlineLevel="0" collapsed="false">
      <c r="A269" s="16"/>
      <c r="B269" s="17"/>
      <c r="C269" s="18"/>
      <c r="D269" s="17"/>
      <c r="E269" s="17"/>
      <c r="F269" s="17"/>
      <c r="G269" s="17"/>
      <c r="H269" s="17"/>
      <c r="I269" s="19" t="str">
        <f aca="false">IF(A269="","",D269*(E269-F269))</f>
        <v/>
      </c>
      <c r="J269" s="19" t="str">
        <f aca="false">IF(A269="","",IFERROR(INDEX(设定!$B$5:$B$14,MATCH(C269,设定!$A$5:$A$14,0)),0))</f>
        <v/>
      </c>
      <c r="K269" s="20" t="str">
        <f aca="false">IF(A269="","",G269*J269/1000)</f>
        <v/>
      </c>
      <c r="L269" s="20" t="str">
        <f aca="false">IF(A269="","",I269*IFERROR(INDEX(设定!$C$5:$C$14,MATCH(C269,设定!$A$5:$A$14,0)),0))</f>
        <v/>
      </c>
      <c r="M269" s="21" t="str">
        <f aca="false">IF(A269="","",IF(L269&gt;0,K269/L269,0))</f>
        <v/>
      </c>
      <c r="N269" s="21" t="str">
        <f aca="false">IF(OR(A269="",H269=""),"",IF(J269&gt;0,(H269-J269)/J269,0))</f>
        <v/>
      </c>
      <c r="O269" s="22" t="str">
        <f aca="false">IF(OR(A269="",H269=""),"",IF(H269&lt;J269,"⚠ 低于标示",""))</f>
        <v/>
      </c>
      <c r="P269" s="19" t="n">
        <f aca="false">IF(OR(A269="",H269=""),0,G269*(H269-J269))</f>
        <v>0</v>
      </c>
      <c r="Q269" s="19" t="n">
        <f aca="false">IF(OR(A269="",H269=""),0,G269*J269)</f>
        <v>0</v>
      </c>
      <c r="R269" s="19" t="n">
        <f aca="false">IF(OR(A269="",H269=""),0,IF(H269&lt;J269,1,0))</f>
        <v>0</v>
      </c>
    </row>
    <row r="270" customFormat="false" ht="15" hidden="false" customHeight="false" outlineLevel="0" collapsed="false">
      <c r="A270" s="16"/>
      <c r="B270" s="17"/>
      <c r="C270" s="18"/>
      <c r="D270" s="17"/>
      <c r="E270" s="17"/>
      <c r="F270" s="17"/>
      <c r="G270" s="17"/>
      <c r="H270" s="17"/>
      <c r="I270" s="19" t="str">
        <f aca="false">IF(A270="","",D270*(E270-F270))</f>
        <v/>
      </c>
      <c r="J270" s="19" t="str">
        <f aca="false">IF(A270="","",IFERROR(INDEX(设定!$B$5:$B$14,MATCH(C270,设定!$A$5:$A$14,0)),0))</f>
        <v/>
      </c>
      <c r="K270" s="20" t="str">
        <f aca="false">IF(A270="","",G270*J270/1000)</f>
        <v/>
      </c>
      <c r="L270" s="20" t="str">
        <f aca="false">IF(A270="","",I270*IFERROR(INDEX(设定!$C$5:$C$14,MATCH(C270,设定!$A$5:$A$14,0)),0))</f>
        <v/>
      </c>
      <c r="M270" s="21" t="str">
        <f aca="false">IF(A270="","",IF(L270&gt;0,K270/L270,0))</f>
        <v/>
      </c>
      <c r="N270" s="21" t="str">
        <f aca="false">IF(OR(A270="",H270=""),"",IF(J270&gt;0,(H270-J270)/J270,0))</f>
        <v/>
      </c>
      <c r="O270" s="22" t="str">
        <f aca="false">IF(OR(A270="",H270=""),"",IF(H270&lt;J270,"⚠ 低于标示",""))</f>
        <v/>
      </c>
      <c r="P270" s="19" t="n">
        <f aca="false">IF(OR(A270="",H270=""),0,G270*(H270-J270))</f>
        <v>0</v>
      </c>
      <c r="Q270" s="19" t="n">
        <f aca="false">IF(OR(A270="",H270=""),0,G270*J270)</f>
        <v>0</v>
      </c>
      <c r="R270" s="19" t="n">
        <f aca="false">IF(OR(A270="",H270=""),0,IF(H270&lt;J270,1,0))</f>
        <v>0</v>
      </c>
    </row>
    <row r="271" customFormat="false" ht="15" hidden="false" customHeight="false" outlineLevel="0" collapsed="false">
      <c r="A271" s="16"/>
      <c r="B271" s="17"/>
      <c r="C271" s="18"/>
      <c r="D271" s="17"/>
      <c r="E271" s="17"/>
      <c r="F271" s="17"/>
      <c r="G271" s="17"/>
      <c r="H271" s="17"/>
      <c r="I271" s="19" t="str">
        <f aca="false">IF(A271="","",D271*(E271-F271))</f>
        <v/>
      </c>
      <c r="J271" s="19" t="str">
        <f aca="false">IF(A271="","",IFERROR(INDEX(设定!$B$5:$B$14,MATCH(C271,设定!$A$5:$A$14,0)),0))</f>
        <v/>
      </c>
      <c r="K271" s="20" t="str">
        <f aca="false">IF(A271="","",G271*J271/1000)</f>
        <v/>
      </c>
      <c r="L271" s="20" t="str">
        <f aca="false">IF(A271="","",I271*IFERROR(INDEX(设定!$C$5:$C$14,MATCH(C271,设定!$A$5:$A$14,0)),0))</f>
        <v/>
      </c>
      <c r="M271" s="21" t="str">
        <f aca="false">IF(A271="","",IF(L271&gt;0,K271/L271,0))</f>
        <v/>
      </c>
      <c r="N271" s="21" t="str">
        <f aca="false">IF(OR(A271="",H271=""),"",IF(J271&gt;0,(H271-J271)/J271,0))</f>
        <v/>
      </c>
      <c r="O271" s="22" t="str">
        <f aca="false">IF(OR(A271="",H271=""),"",IF(H271&lt;J271,"⚠ 低于标示",""))</f>
        <v/>
      </c>
      <c r="P271" s="19" t="n">
        <f aca="false">IF(OR(A271="",H271=""),0,G271*(H271-J271))</f>
        <v>0</v>
      </c>
      <c r="Q271" s="19" t="n">
        <f aca="false">IF(OR(A271="",H271=""),0,G271*J271)</f>
        <v>0</v>
      </c>
      <c r="R271" s="19" t="n">
        <f aca="false">IF(OR(A271="",H271=""),0,IF(H271&lt;J271,1,0))</f>
        <v>0</v>
      </c>
    </row>
    <row r="272" customFormat="false" ht="15" hidden="false" customHeight="false" outlineLevel="0" collapsed="false">
      <c r="A272" s="16"/>
      <c r="B272" s="17"/>
      <c r="C272" s="18"/>
      <c r="D272" s="17"/>
      <c r="E272" s="17"/>
      <c r="F272" s="17"/>
      <c r="G272" s="17"/>
      <c r="H272" s="17"/>
      <c r="I272" s="19" t="str">
        <f aca="false">IF(A272="","",D272*(E272-F272))</f>
        <v/>
      </c>
      <c r="J272" s="19" t="str">
        <f aca="false">IF(A272="","",IFERROR(INDEX(设定!$B$5:$B$14,MATCH(C272,设定!$A$5:$A$14,0)),0))</f>
        <v/>
      </c>
      <c r="K272" s="20" t="str">
        <f aca="false">IF(A272="","",G272*J272/1000)</f>
        <v/>
      </c>
      <c r="L272" s="20" t="str">
        <f aca="false">IF(A272="","",I272*IFERROR(INDEX(设定!$C$5:$C$14,MATCH(C272,设定!$A$5:$A$14,0)),0))</f>
        <v/>
      </c>
      <c r="M272" s="21" t="str">
        <f aca="false">IF(A272="","",IF(L272&gt;0,K272/L272,0))</f>
        <v/>
      </c>
      <c r="N272" s="21" t="str">
        <f aca="false">IF(OR(A272="",H272=""),"",IF(J272&gt;0,(H272-J272)/J272,0))</f>
        <v/>
      </c>
      <c r="O272" s="22" t="str">
        <f aca="false">IF(OR(A272="",H272=""),"",IF(H272&lt;J272,"⚠ 低于标示",""))</f>
        <v/>
      </c>
      <c r="P272" s="19" t="n">
        <f aca="false">IF(OR(A272="",H272=""),0,G272*(H272-J272))</f>
        <v>0</v>
      </c>
      <c r="Q272" s="19" t="n">
        <f aca="false">IF(OR(A272="",H272=""),0,G272*J272)</f>
        <v>0</v>
      </c>
      <c r="R272" s="19" t="n">
        <f aca="false">IF(OR(A272="",H272=""),0,IF(H272&lt;J272,1,0))</f>
        <v>0</v>
      </c>
    </row>
    <row r="273" customFormat="false" ht="15" hidden="false" customHeight="false" outlineLevel="0" collapsed="false">
      <c r="A273" s="16"/>
      <c r="B273" s="17"/>
      <c r="C273" s="18"/>
      <c r="D273" s="17"/>
      <c r="E273" s="17"/>
      <c r="F273" s="17"/>
      <c r="G273" s="17"/>
      <c r="H273" s="17"/>
      <c r="I273" s="19" t="str">
        <f aca="false">IF(A273="","",D273*(E273-F273))</f>
        <v/>
      </c>
      <c r="J273" s="19" t="str">
        <f aca="false">IF(A273="","",IFERROR(INDEX(设定!$B$5:$B$14,MATCH(C273,设定!$A$5:$A$14,0)),0))</f>
        <v/>
      </c>
      <c r="K273" s="20" t="str">
        <f aca="false">IF(A273="","",G273*J273/1000)</f>
        <v/>
      </c>
      <c r="L273" s="20" t="str">
        <f aca="false">IF(A273="","",I273*IFERROR(INDEX(设定!$C$5:$C$14,MATCH(C273,设定!$A$5:$A$14,0)),0))</f>
        <v/>
      </c>
      <c r="M273" s="21" t="str">
        <f aca="false">IF(A273="","",IF(L273&gt;0,K273/L273,0))</f>
        <v/>
      </c>
      <c r="N273" s="21" t="str">
        <f aca="false">IF(OR(A273="",H273=""),"",IF(J273&gt;0,(H273-J273)/J273,0))</f>
        <v/>
      </c>
      <c r="O273" s="22" t="str">
        <f aca="false">IF(OR(A273="",H273=""),"",IF(H273&lt;J273,"⚠ 低于标示",""))</f>
        <v/>
      </c>
      <c r="P273" s="19" t="n">
        <f aca="false">IF(OR(A273="",H273=""),0,G273*(H273-J273))</f>
        <v>0</v>
      </c>
      <c r="Q273" s="19" t="n">
        <f aca="false">IF(OR(A273="",H273=""),0,G273*J273)</f>
        <v>0</v>
      </c>
      <c r="R273" s="19" t="n">
        <f aca="false">IF(OR(A273="",H273=""),0,IF(H273&lt;J273,1,0))</f>
        <v>0</v>
      </c>
    </row>
    <row r="274" customFormat="false" ht="15" hidden="false" customHeight="false" outlineLevel="0" collapsed="false">
      <c r="A274" s="16"/>
      <c r="B274" s="17"/>
      <c r="C274" s="18"/>
      <c r="D274" s="17"/>
      <c r="E274" s="17"/>
      <c r="F274" s="17"/>
      <c r="G274" s="17"/>
      <c r="H274" s="17"/>
      <c r="I274" s="19" t="str">
        <f aca="false">IF(A274="","",D274*(E274-F274))</f>
        <v/>
      </c>
      <c r="J274" s="19" t="str">
        <f aca="false">IF(A274="","",IFERROR(INDEX(设定!$B$5:$B$14,MATCH(C274,设定!$A$5:$A$14,0)),0))</f>
        <v/>
      </c>
      <c r="K274" s="20" t="str">
        <f aca="false">IF(A274="","",G274*J274/1000)</f>
        <v/>
      </c>
      <c r="L274" s="20" t="str">
        <f aca="false">IF(A274="","",I274*IFERROR(INDEX(设定!$C$5:$C$14,MATCH(C274,设定!$A$5:$A$14,0)),0))</f>
        <v/>
      </c>
      <c r="M274" s="21" t="str">
        <f aca="false">IF(A274="","",IF(L274&gt;0,K274/L274,0))</f>
        <v/>
      </c>
      <c r="N274" s="21" t="str">
        <f aca="false">IF(OR(A274="",H274=""),"",IF(J274&gt;0,(H274-J274)/J274,0))</f>
        <v/>
      </c>
      <c r="O274" s="22" t="str">
        <f aca="false">IF(OR(A274="",H274=""),"",IF(H274&lt;J274,"⚠ 低于标示",""))</f>
        <v/>
      </c>
      <c r="P274" s="19" t="n">
        <f aca="false">IF(OR(A274="",H274=""),0,G274*(H274-J274))</f>
        <v>0</v>
      </c>
      <c r="Q274" s="19" t="n">
        <f aca="false">IF(OR(A274="",H274=""),0,G274*J274)</f>
        <v>0</v>
      </c>
      <c r="R274" s="19" t="n">
        <f aca="false">IF(OR(A274="",H274=""),0,IF(H274&lt;J274,1,0))</f>
        <v>0</v>
      </c>
    </row>
    <row r="275" customFormat="false" ht="15" hidden="false" customHeight="false" outlineLevel="0" collapsed="false">
      <c r="A275" s="16"/>
      <c r="B275" s="17"/>
      <c r="C275" s="18"/>
      <c r="D275" s="17"/>
      <c r="E275" s="17"/>
      <c r="F275" s="17"/>
      <c r="G275" s="17"/>
      <c r="H275" s="17"/>
      <c r="I275" s="19" t="str">
        <f aca="false">IF(A275="","",D275*(E275-F275))</f>
        <v/>
      </c>
      <c r="J275" s="19" t="str">
        <f aca="false">IF(A275="","",IFERROR(INDEX(设定!$B$5:$B$14,MATCH(C275,设定!$A$5:$A$14,0)),0))</f>
        <v/>
      </c>
      <c r="K275" s="20" t="str">
        <f aca="false">IF(A275="","",G275*J275/1000)</f>
        <v/>
      </c>
      <c r="L275" s="20" t="str">
        <f aca="false">IF(A275="","",I275*IFERROR(INDEX(设定!$C$5:$C$14,MATCH(C275,设定!$A$5:$A$14,0)),0))</f>
        <v/>
      </c>
      <c r="M275" s="21" t="str">
        <f aca="false">IF(A275="","",IF(L275&gt;0,K275/L275,0))</f>
        <v/>
      </c>
      <c r="N275" s="21" t="str">
        <f aca="false">IF(OR(A275="",H275=""),"",IF(J275&gt;0,(H275-J275)/J275,0))</f>
        <v/>
      </c>
      <c r="O275" s="22" t="str">
        <f aca="false">IF(OR(A275="",H275=""),"",IF(H275&lt;J275,"⚠ 低于标示",""))</f>
        <v/>
      </c>
      <c r="P275" s="19" t="n">
        <f aca="false">IF(OR(A275="",H275=""),0,G275*(H275-J275))</f>
        <v>0</v>
      </c>
      <c r="Q275" s="19" t="n">
        <f aca="false">IF(OR(A275="",H275=""),0,G275*J275)</f>
        <v>0</v>
      </c>
      <c r="R275" s="19" t="n">
        <f aca="false">IF(OR(A275="",H275=""),0,IF(H275&lt;J275,1,0))</f>
        <v>0</v>
      </c>
    </row>
    <row r="276" customFormat="false" ht="15" hidden="false" customHeight="false" outlineLevel="0" collapsed="false">
      <c r="A276" s="16"/>
      <c r="B276" s="17"/>
      <c r="C276" s="18"/>
      <c r="D276" s="17"/>
      <c r="E276" s="17"/>
      <c r="F276" s="17"/>
      <c r="G276" s="17"/>
      <c r="H276" s="17"/>
      <c r="I276" s="19" t="str">
        <f aca="false">IF(A276="","",D276*(E276-F276))</f>
        <v/>
      </c>
      <c r="J276" s="19" t="str">
        <f aca="false">IF(A276="","",IFERROR(INDEX(设定!$B$5:$B$14,MATCH(C276,设定!$A$5:$A$14,0)),0))</f>
        <v/>
      </c>
      <c r="K276" s="20" t="str">
        <f aca="false">IF(A276="","",G276*J276/1000)</f>
        <v/>
      </c>
      <c r="L276" s="20" t="str">
        <f aca="false">IF(A276="","",I276*IFERROR(INDEX(设定!$C$5:$C$14,MATCH(C276,设定!$A$5:$A$14,0)),0))</f>
        <v/>
      </c>
      <c r="M276" s="21" t="str">
        <f aca="false">IF(A276="","",IF(L276&gt;0,K276/L276,0))</f>
        <v/>
      </c>
      <c r="N276" s="21" t="str">
        <f aca="false">IF(OR(A276="",H276=""),"",IF(J276&gt;0,(H276-J276)/J276,0))</f>
        <v/>
      </c>
      <c r="O276" s="22" t="str">
        <f aca="false">IF(OR(A276="",H276=""),"",IF(H276&lt;J276,"⚠ 低于标示",""))</f>
        <v/>
      </c>
      <c r="P276" s="19" t="n">
        <f aca="false">IF(OR(A276="",H276=""),0,G276*(H276-J276))</f>
        <v>0</v>
      </c>
      <c r="Q276" s="19" t="n">
        <f aca="false">IF(OR(A276="",H276=""),0,G276*J276)</f>
        <v>0</v>
      </c>
      <c r="R276" s="19" t="n">
        <f aca="false">IF(OR(A276="",H276=""),0,IF(H276&lt;J276,1,0))</f>
        <v>0</v>
      </c>
    </row>
    <row r="277" customFormat="false" ht="15" hidden="false" customHeight="false" outlineLevel="0" collapsed="false">
      <c r="A277" s="16"/>
      <c r="B277" s="17"/>
      <c r="C277" s="18"/>
      <c r="D277" s="17"/>
      <c r="E277" s="17"/>
      <c r="F277" s="17"/>
      <c r="G277" s="17"/>
      <c r="H277" s="17"/>
      <c r="I277" s="19" t="str">
        <f aca="false">IF(A277="","",D277*(E277-F277))</f>
        <v/>
      </c>
      <c r="J277" s="19" t="str">
        <f aca="false">IF(A277="","",IFERROR(INDEX(设定!$B$5:$B$14,MATCH(C277,设定!$A$5:$A$14,0)),0))</f>
        <v/>
      </c>
      <c r="K277" s="20" t="str">
        <f aca="false">IF(A277="","",G277*J277/1000)</f>
        <v/>
      </c>
      <c r="L277" s="20" t="str">
        <f aca="false">IF(A277="","",I277*IFERROR(INDEX(设定!$C$5:$C$14,MATCH(C277,设定!$A$5:$A$14,0)),0))</f>
        <v/>
      </c>
      <c r="M277" s="21" t="str">
        <f aca="false">IF(A277="","",IF(L277&gt;0,K277/L277,0))</f>
        <v/>
      </c>
      <c r="N277" s="21" t="str">
        <f aca="false">IF(OR(A277="",H277=""),"",IF(J277&gt;0,(H277-J277)/J277,0))</f>
        <v/>
      </c>
      <c r="O277" s="22" t="str">
        <f aca="false">IF(OR(A277="",H277=""),"",IF(H277&lt;J277,"⚠ 低于标示",""))</f>
        <v/>
      </c>
      <c r="P277" s="19" t="n">
        <f aca="false">IF(OR(A277="",H277=""),0,G277*(H277-J277))</f>
        <v>0</v>
      </c>
      <c r="Q277" s="19" t="n">
        <f aca="false">IF(OR(A277="",H277=""),0,G277*J277)</f>
        <v>0</v>
      </c>
      <c r="R277" s="19" t="n">
        <f aca="false">IF(OR(A277="",H277=""),0,IF(H277&lt;J277,1,0))</f>
        <v>0</v>
      </c>
    </row>
    <row r="278" customFormat="false" ht="15" hidden="false" customHeight="false" outlineLevel="0" collapsed="false">
      <c r="A278" s="16"/>
      <c r="B278" s="17"/>
      <c r="C278" s="18"/>
      <c r="D278" s="17"/>
      <c r="E278" s="17"/>
      <c r="F278" s="17"/>
      <c r="G278" s="17"/>
      <c r="H278" s="17"/>
      <c r="I278" s="19" t="str">
        <f aca="false">IF(A278="","",D278*(E278-F278))</f>
        <v/>
      </c>
      <c r="J278" s="19" t="str">
        <f aca="false">IF(A278="","",IFERROR(INDEX(设定!$B$5:$B$14,MATCH(C278,设定!$A$5:$A$14,0)),0))</f>
        <v/>
      </c>
      <c r="K278" s="20" t="str">
        <f aca="false">IF(A278="","",G278*J278/1000)</f>
        <v/>
      </c>
      <c r="L278" s="20" t="str">
        <f aca="false">IF(A278="","",I278*IFERROR(INDEX(设定!$C$5:$C$14,MATCH(C278,设定!$A$5:$A$14,0)),0))</f>
        <v/>
      </c>
      <c r="M278" s="21" t="str">
        <f aca="false">IF(A278="","",IF(L278&gt;0,K278/L278,0))</f>
        <v/>
      </c>
      <c r="N278" s="21" t="str">
        <f aca="false">IF(OR(A278="",H278=""),"",IF(J278&gt;0,(H278-J278)/J278,0))</f>
        <v/>
      </c>
      <c r="O278" s="22" t="str">
        <f aca="false">IF(OR(A278="",H278=""),"",IF(H278&lt;J278,"⚠ 低于标示",""))</f>
        <v/>
      </c>
      <c r="P278" s="19" t="n">
        <f aca="false">IF(OR(A278="",H278=""),0,G278*(H278-J278))</f>
        <v>0</v>
      </c>
      <c r="Q278" s="19" t="n">
        <f aca="false">IF(OR(A278="",H278=""),0,G278*J278)</f>
        <v>0</v>
      </c>
      <c r="R278" s="19" t="n">
        <f aca="false">IF(OR(A278="",H278=""),0,IF(H278&lt;J278,1,0))</f>
        <v>0</v>
      </c>
    </row>
    <row r="279" customFormat="false" ht="15" hidden="false" customHeight="false" outlineLevel="0" collapsed="false">
      <c r="A279" s="16"/>
      <c r="B279" s="17"/>
      <c r="C279" s="18"/>
      <c r="D279" s="17"/>
      <c r="E279" s="17"/>
      <c r="F279" s="17"/>
      <c r="G279" s="17"/>
      <c r="H279" s="17"/>
      <c r="I279" s="19" t="str">
        <f aca="false">IF(A279="","",D279*(E279-F279))</f>
        <v/>
      </c>
      <c r="J279" s="19" t="str">
        <f aca="false">IF(A279="","",IFERROR(INDEX(设定!$B$5:$B$14,MATCH(C279,设定!$A$5:$A$14,0)),0))</f>
        <v/>
      </c>
      <c r="K279" s="20" t="str">
        <f aca="false">IF(A279="","",G279*J279/1000)</f>
        <v/>
      </c>
      <c r="L279" s="20" t="str">
        <f aca="false">IF(A279="","",I279*IFERROR(INDEX(设定!$C$5:$C$14,MATCH(C279,设定!$A$5:$A$14,0)),0))</f>
        <v/>
      </c>
      <c r="M279" s="21" t="str">
        <f aca="false">IF(A279="","",IF(L279&gt;0,K279/L279,0))</f>
        <v/>
      </c>
      <c r="N279" s="21" t="str">
        <f aca="false">IF(OR(A279="",H279=""),"",IF(J279&gt;0,(H279-J279)/J279,0))</f>
        <v/>
      </c>
      <c r="O279" s="22" t="str">
        <f aca="false">IF(OR(A279="",H279=""),"",IF(H279&lt;J279,"⚠ 低于标示",""))</f>
        <v/>
      </c>
      <c r="P279" s="19" t="n">
        <f aca="false">IF(OR(A279="",H279=""),0,G279*(H279-J279))</f>
        <v>0</v>
      </c>
      <c r="Q279" s="19" t="n">
        <f aca="false">IF(OR(A279="",H279=""),0,G279*J279)</f>
        <v>0</v>
      </c>
      <c r="R279" s="19" t="n">
        <f aca="false">IF(OR(A279="",H279=""),0,IF(H279&lt;J279,1,0))</f>
        <v>0</v>
      </c>
    </row>
    <row r="280" customFormat="false" ht="15" hidden="false" customHeight="false" outlineLevel="0" collapsed="false">
      <c r="A280" s="16"/>
      <c r="B280" s="17"/>
      <c r="C280" s="18"/>
      <c r="D280" s="17"/>
      <c r="E280" s="17"/>
      <c r="F280" s="17"/>
      <c r="G280" s="17"/>
      <c r="H280" s="17"/>
      <c r="I280" s="19" t="str">
        <f aca="false">IF(A280="","",D280*(E280-F280))</f>
        <v/>
      </c>
      <c r="J280" s="19" t="str">
        <f aca="false">IF(A280="","",IFERROR(INDEX(设定!$B$5:$B$14,MATCH(C280,设定!$A$5:$A$14,0)),0))</f>
        <v/>
      </c>
      <c r="K280" s="20" t="str">
        <f aca="false">IF(A280="","",G280*J280/1000)</f>
        <v/>
      </c>
      <c r="L280" s="20" t="str">
        <f aca="false">IF(A280="","",I280*IFERROR(INDEX(设定!$C$5:$C$14,MATCH(C280,设定!$A$5:$A$14,0)),0))</f>
        <v/>
      </c>
      <c r="M280" s="21" t="str">
        <f aca="false">IF(A280="","",IF(L280&gt;0,K280/L280,0))</f>
        <v/>
      </c>
      <c r="N280" s="21" t="str">
        <f aca="false">IF(OR(A280="",H280=""),"",IF(J280&gt;0,(H280-J280)/J280,0))</f>
        <v/>
      </c>
      <c r="O280" s="22" t="str">
        <f aca="false">IF(OR(A280="",H280=""),"",IF(H280&lt;J280,"⚠ 低于标示",""))</f>
        <v/>
      </c>
      <c r="P280" s="19" t="n">
        <f aca="false">IF(OR(A280="",H280=""),0,G280*(H280-J280))</f>
        <v>0</v>
      </c>
      <c r="Q280" s="19" t="n">
        <f aca="false">IF(OR(A280="",H280=""),0,G280*J280)</f>
        <v>0</v>
      </c>
      <c r="R280" s="19" t="n">
        <f aca="false">IF(OR(A280="",H280=""),0,IF(H280&lt;J280,1,0))</f>
        <v>0</v>
      </c>
    </row>
    <row r="281" customFormat="false" ht="15" hidden="false" customHeight="false" outlineLevel="0" collapsed="false">
      <c r="A281" s="16"/>
      <c r="B281" s="17"/>
      <c r="C281" s="18"/>
      <c r="D281" s="17"/>
      <c r="E281" s="17"/>
      <c r="F281" s="17"/>
      <c r="G281" s="17"/>
      <c r="H281" s="17"/>
      <c r="I281" s="19" t="str">
        <f aca="false">IF(A281="","",D281*(E281-F281))</f>
        <v/>
      </c>
      <c r="J281" s="19" t="str">
        <f aca="false">IF(A281="","",IFERROR(INDEX(设定!$B$5:$B$14,MATCH(C281,设定!$A$5:$A$14,0)),0))</f>
        <v/>
      </c>
      <c r="K281" s="20" t="str">
        <f aca="false">IF(A281="","",G281*J281/1000)</f>
        <v/>
      </c>
      <c r="L281" s="20" t="str">
        <f aca="false">IF(A281="","",I281*IFERROR(INDEX(设定!$C$5:$C$14,MATCH(C281,设定!$A$5:$A$14,0)),0))</f>
        <v/>
      </c>
      <c r="M281" s="21" t="str">
        <f aca="false">IF(A281="","",IF(L281&gt;0,K281/L281,0))</f>
        <v/>
      </c>
      <c r="N281" s="21" t="str">
        <f aca="false">IF(OR(A281="",H281=""),"",IF(J281&gt;0,(H281-J281)/J281,0))</f>
        <v/>
      </c>
      <c r="O281" s="22" t="str">
        <f aca="false">IF(OR(A281="",H281=""),"",IF(H281&lt;J281,"⚠ 低于标示",""))</f>
        <v/>
      </c>
      <c r="P281" s="19" t="n">
        <f aca="false">IF(OR(A281="",H281=""),0,G281*(H281-J281))</f>
        <v>0</v>
      </c>
      <c r="Q281" s="19" t="n">
        <f aca="false">IF(OR(A281="",H281=""),0,G281*J281)</f>
        <v>0</v>
      </c>
      <c r="R281" s="19" t="n">
        <f aca="false">IF(OR(A281="",H281=""),0,IF(H281&lt;J281,1,0))</f>
        <v>0</v>
      </c>
    </row>
    <row r="282" customFormat="false" ht="15" hidden="false" customHeight="false" outlineLevel="0" collapsed="false">
      <c r="A282" s="16"/>
      <c r="B282" s="17"/>
      <c r="C282" s="18"/>
      <c r="D282" s="17"/>
      <c r="E282" s="17"/>
      <c r="F282" s="17"/>
      <c r="G282" s="17"/>
      <c r="H282" s="17"/>
      <c r="I282" s="19" t="str">
        <f aca="false">IF(A282="","",D282*(E282-F282))</f>
        <v/>
      </c>
      <c r="J282" s="19" t="str">
        <f aca="false">IF(A282="","",IFERROR(INDEX(设定!$B$5:$B$14,MATCH(C282,设定!$A$5:$A$14,0)),0))</f>
        <v/>
      </c>
      <c r="K282" s="20" t="str">
        <f aca="false">IF(A282="","",G282*J282/1000)</f>
        <v/>
      </c>
      <c r="L282" s="20" t="str">
        <f aca="false">IF(A282="","",I282*IFERROR(INDEX(设定!$C$5:$C$14,MATCH(C282,设定!$A$5:$A$14,0)),0))</f>
        <v/>
      </c>
      <c r="M282" s="21" t="str">
        <f aca="false">IF(A282="","",IF(L282&gt;0,K282/L282,0))</f>
        <v/>
      </c>
      <c r="N282" s="21" t="str">
        <f aca="false">IF(OR(A282="",H282=""),"",IF(J282&gt;0,(H282-J282)/J282,0))</f>
        <v/>
      </c>
      <c r="O282" s="22" t="str">
        <f aca="false">IF(OR(A282="",H282=""),"",IF(H282&lt;J282,"⚠ 低于标示",""))</f>
        <v/>
      </c>
      <c r="P282" s="19" t="n">
        <f aca="false">IF(OR(A282="",H282=""),0,G282*(H282-J282))</f>
        <v>0</v>
      </c>
      <c r="Q282" s="19" t="n">
        <f aca="false">IF(OR(A282="",H282=""),0,G282*J282)</f>
        <v>0</v>
      </c>
      <c r="R282" s="19" t="n">
        <f aca="false">IF(OR(A282="",H282=""),0,IF(H282&lt;J282,1,0))</f>
        <v>0</v>
      </c>
    </row>
    <row r="283" customFormat="false" ht="15" hidden="false" customHeight="false" outlineLevel="0" collapsed="false">
      <c r="A283" s="16"/>
      <c r="B283" s="17"/>
      <c r="C283" s="18"/>
      <c r="D283" s="17"/>
      <c r="E283" s="17"/>
      <c r="F283" s="17"/>
      <c r="G283" s="17"/>
      <c r="H283" s="17"/>
      <c r="I283" s="19" t="str">
        <f aca="false">IF(A283="","",D283*(E283-F283))</f>
        <v/>
      </c>
      <c r="J283" s="19" t="str">
        <f aca="false">IF(A283="","",IFERROR(INDEX(设定!$B$5:$B$14,MATCH(C283,设定!$A$5:$A$14,0)),0))</f>
        <v/>
      </c>
      <c r="K283" s="20" t="str">
        <f aca="false">IF(A283="","",G283*J283/1000)</f>
        <v/>
      </c>
      <c r="L283" s="20" t="str">
        <f aca="false">IF(A283="","",I283*IFERROR(INDEX(设定!$C$5:$C$14,MATCH(C283,设定!$A$5:$A$14,0)),0))</f>
        <v/>
      </c>
      <c r="M283" s="21" t="str">
        <f aca="false">IF(A283="","",IF(L283&gt;0,K283/L283,0))</f>
        <v/>
      </c>
      <c r="N283" s="21" t="str">
        <f aca="false">IF(OR(A283="",H283=""),"",IF(J283&gt;0,(H283-J283)/J283,0))</f>
        <v/>
      </c>
      <c r="O283" s="22" t="str">
        <f aca="false">IF(OR(A283="",H283=""),"",IF(H283&lt;J283,"⚠ 低于标示",""))</f>
        <v/>
      </c>
      <c r="P283" s="19" t="n">
        <f aca="false">IF(OR(A283="",H283=""),0,G283*(H283-J283))</f>
        <v>0</v>
      </c>
      <c r="Q283" s="19" t="n">
        <f aca="false">IF(OR(A283="",H283=""),0,G283*J283)</f>
        <v>0</v>
      </c>
      <c r="R283" s="19" t="n">
        <f aca="false">IF(OR(A283="",H283=""),0,IF(H283&lt;J283,1,0))</f>
        <v>0</v>
      </c>
    </row>
    <row r="284" customFormat="false" ht="15" hidden="false" customHeight="false" outlineLevel="0" collapsed="false">
      <c r="A284" s="16"/>
      <c r="B284" s="17"/>
      <c r="C284" s="18"/>
      <c r="D284" s="17"/>
      <c r="E284" s="17"/>
      <c r="F284" s="17"/>
      <c r="G284" s="17"/>
      <c r="H284" s="17"/>
      <c r="I284" s="19" t="str">
        <f aca="false">IF(A284="","",D284*(E284-F284))</f>
        <v/>
      </c>
      <c r="J284" s="19" t="str">
        <f aca="false">IF(A284="","",IFERROR(INDEX(设定!$B$5:$B$14,MATCH(C284,设定!$A$5:$A$14,0)),0))</f>
        <v/>
      </c>
      <c r="K284" s="20" t="str">
        <f aca="false">IF(A284="","",G284*J284/1000)</f>
        <v/>
      </c>
      <c r="L284" s="20" t="str">
        <f aca="false">IF(A284="","",I284*IFERROR(INDEX(设定!$C$5:$C$14,MATCH(C284,设定!$A$5:$A$14,0)),0))</f>
        <v/>
      </c>
      <c r="M284" s="21" t="str">
        <f aca="false">IF(A284="","",IF(L284&gt;0,K284/L284,0))</f>
        <v/>
      </c>
      <c r="N284" s="21" t="str">
        <f aca="false">IF(OR(A284="",H284=""),"",IF(J284&gt;0,(H284-J284)/J284,0))</f>
        <v/>
      </c>
      <c r="O284" s="22" t="str">
        <f aca="false">IF(OR(A284="",H284=""),"",IF(H284&lt;J284,"⚠ 低于标示",""))</f>
        <v/>
      </c>
      <c r="P284" s="19" t="n">
        <f aca="false">IF(OR(A284="",H284=""),0,G284*(H284-J284))</f>
        <v>0</v>
      </c>
      <c r="Q284" s="19" t="n">
        <f aca="false">IF(OR(A284="",H284=""),0,G284*J284)</f>
        <v>0</v>
      </c>
      <c r="R284" s="19" t="n">
        <f aca="false">IF(OR(A284="",H284=""),0,IF(H284&lt;J284,1,0))</f>
        <v>0</v>
      </c>
    </row>
    <row r="285" customFormat="false" ht="15" hidden="false" customHeight="false" outlineLevel="0" collapsed="false">
      <c r="A285" s="16"/>
      <c r="B285" s="17"/>
      <c r="C285" s="18"/>
      <c r="D285" s="17"/>
      <c r="E285" s="17"/>
      <c r="F285" s="17"/>
      <c r="G285" s="17"/>
      <c r="H285" s="17"/>
      <c r="I285" s="19" t="str">
        <f aca="false">IF(A285="","",D285*(E285-F285))</f>
        <v/>
      </c>
      <c r="J285" s="19" t="str">
        <f aca="false">IF(A285="","",IFERROR(INDEX(设定!$B$5:$B$14,MATCH(C285,设定!$A$5:$A$14,0)),0))</f>
        <v/>
      </c>
      <c r="K285" s="20" t="str">
        <f aca="false">IF(A285="","",G285*J285/1000)</f>
        <v/>
      </c>
      <c r="L285" s="20" t="str">
        <f aca="false">IF(A285="","",I285*IFERROR(INDEX(设定!$C$5:$C$14,MATCH(C285,设定!$A$5:$A$14,0)),0))</f>
        <v/>
      </c>
      <c r="M285" s="21" t="str">
        <f aca="false">IF(A285="","",IF(L285&gt;0,K285/L285,0))</f>
        <v/>
      </c>
      <c r="N285" s="21" t="str">
        <f aca="false">IF(OR(A285="",H285=""),"",IF(J285&gt;0,(H285-J285)/J285,0))</f>
        <v/>
      </c>
      <c r="O285" s="22" t="str">
        <f aca="false">IF(OR(A285="",H285=""),"",IF(H285&lt;J285,"⚠ 低于标示",""))</f>
        <v/>
      </c>
      <c r="P285" s="19" t="n">
        <f aca="false">IF(OR(A285="",H285=""),0,G285*(H285-J285))</f>
        <v>0</v>
      </c>
      <c r="Q285" s="19" t="n">
        <f aca="false">IF(OR(A285="",H285=""),0,G285*J285)</f>
        <v>0</v>
      </c>
      <c r="R285" s="19" t="n">
        <f aca="false">IF(OR(A285="",H285=""),0,IF(H285&lt;J285,1,0))</f>
        <v>0</v>
      </c>
    </row>
    <row r="286" customFormat="false" ht="15" hidden="false" customHeight="false" outlineLevel="0" collapsed="false">
      <c r="A286" s="16"/>
      <c r="B286" s="17"/>
      <c r="C286" s="18"/>
      <c r="D286" s="17"/>
      <c r="E286" s="17"/>
      <c r="F286" s="17"/>
      <c r="G286" s="17"/>
      <c r="H286" s="17"/>
      <c r="I286" s="19" t="str">
        <f aca="false">IF(A286="","",D286*(E286-F286))</f>
        <v/>
      </c>
      <c r="J286" s="19" t="str">
        <f aca="false">IF(A286="","",IFERROR(INDEX(设定!$B$5:$B$14,MATCH(C286,设定!$A$5:$A$14,0)),0))</f>
        <v/>
      </c>
      <c r="K286" s="20" t="str">
        <f aca="false">IF(A286="","",G286*J286/1000)</f>
        <v/>
      </c>
      <c r="L286" s="20" t="str">
        <f aca="false">IF(A286="","",I286*IFERROR(INDEX(设定!$C$5:$C$14,MATCH(C286,设定!$A$5:$A$14,0)),0))</f>
        <v/>
      </c>
      <c r="M286" s="21" t="str">
        <f aca="false">IF(A286="","",IF(L286&gt;0,K286/L286,0))</f>
        <v/>
      </c>
      <c r="N286" s="21" t="str">
        <f aca="false">IF(OR(A286="",H286=""),"",IF(J286&gt;0,(H286-J286)/J286,0))</f>
        <v/>
      </c>
      <c r="O286" s="22" t="str">
        <f aca="false">IF(OR(A286="",H286=""),"",IF(H286&lt;J286,"⚠ 低于标示",""))</f>
        <v/>
      </c>
      <c r="P286" s="19" t="n">
        <f aca="false">IF(OR(A286="",H286=""),0,G286*(H286-J286))</f>
        <v>0</v>
      </c>
      <c r="Q286" s="19" t="n">
        <f aca="false">IF(OR(A286="",H286=""),0,G286*J286)</f>
        <v>0</v>
      </c>
      <c r="R286" s="19" t="n">
        <f aca="false">IF(OR(A286="",H286=""),0,IF(H286&lt;J286,1,0))</f>
        <v>0</v>
      </c>
    </row>
    <row r="287" customFormat="false" ht="15" hidden="false" customHeight="false" outlineLevel="0" collapsed="false">
      <c r="A287" s="16"/>
      <c r="B287" s="17"/>
      <c r="C287" s="18"/>
      <c r="D287" s="17"/>
      <c r="E287" s="17"/>
      <c r="F287" s="17"/>
      <c r="G287" s="17"/>
      <c r="H287" s="17"/>
      <c r="I287" s="19" t="str">
        <f aca="false">IF(A287="","",D287*(E287-F287))</f>
        <v/>
      </c>
      <c r="J287" s="19" t="str">
        <f aca="false">IF(A287="","",IFERROR(INDEX(设定!$B$5:$B$14,MATCH(C287,设定!$A$5:$A$14,0)),0))</f>
        <v/>
      </c>
      <c r="K287" s="20" t="str">
        <f aca="false">IF(A287="","",G287*J287/1000)</f>
        <v/>
      </c>
      <c r="L287" s="20" t="str">
        <f aca="false">IF(A287="","",I287*IFERROR(INDEX(设定!$C$5:$C$14,MATCH(C287,设定!$A$5:$A$14,0)),0))</f>
        <v/>
      </c>
      <c r="M287" s="21" t="str">
        <f aca="false">IF(A287="","",IF(L287&gt;0,K287/L287,0))</f>
        <v/>
      </c>
      <c r="N287" s="21" t="str">
        <f aca="false">IF(OR(A287="",H287=""),"",IF(J287&gt;0,(H287-J287)/J287,0))</f>
        <v/>
      </c>
      <c r="O287" s="22" t="str">
        <f aca="false">IF(OR(A287="",H287=""),"",IF(H287&lt;J287,"⚠ 低于标示",""))</f>
        <v/>
      </c>
      <c r="P287" s="19" t="n">
        <f aca="false">IF(OR(A287="",H287=""),0,G287*(H287-J287))</f>
        <v>0</v>
      </c>
      <c r="Q287" s="19" t="n">
        <f aca="false">IF(OR(A287="",H287=""),0,G287*J287)</f>
        <v>0</v>
      </c>
      <c r="R287" s="19" t="n">
        <f aca="false">IF(OR(A287="",H287=""),0,IF(H287&lt;J287,1,0))</f>
        <v>0</v>
      </c>
    </row>
    <row r="288" customFormat="false" ht="15" hidden="false" customHeight="false" outlineLevel="0" collapsed="false">
      <c r="A288" s="16"/>
      <c r="B288" s="17"/>
      <c r="C288" s="18"/>
      <c r="D288" s="17"/>
      <c r="E288" s="17"/>
      <c r="F288" s="17"/>
      <c r="G288" s="17"/>
      <c r="H288" s="17"/>
      <c r="I288" s="19" t="str">
        <f aca="false">IF(A288="","",D288*(E288-F288))</f>
        <v/>
      </c>
      <c r="J288" s="19" t="str">
        <f aca="false">IF(A288="","",IFERROR(INDEX(设定!$B$5:$B$14,MATCH(C288,设定!$A$5:$A$14,0)),0))</f>
        <v/>
      </c>
      <c r="K288" s="20" t="str">
        <f aca="false">IF(A288="","",G288*J288/1000)</f>
        <v/>
      </c>
      <c r="L288" s="20" t="str">
        <f aca="false">IF(A288="","",I288*IFERROR(INDEX(设定!$C$5:$C$14,MATCH(C288,设定!$A$5:$A$14,0)),0))</f>
        <v/>
      </c>
      <c r="M288" s="21" t="str">
        <f aca="false">IF(A288="","",IF(L288&gt;0,K288/L288,0))</f>
        <v/>
      </c>
      <c r="N288" s="21" t="str">
        <f aca="false">IF(OR(A288="",H288=""),"",IF(J288&gt;0,(H288-J288)/J288,0))</f>
        <v/>
      </c>
      <c r="O288" s="22" t="str">
        <f aca="false">IF(OR(A288="",H288=""),"",IF(H288&lt;J288,"⚠ 低于标示",""))</f>
        <v/>
      </c>
      <c r="P288" s="19" t="n">
        <f aca="false">IF(OR(A288="",H288=""),0,G288*(H288-J288))</f>
        <v>0</v>
      </c>
      <c r="Q288" s="19" t="n">
        <f aca="false">IF(OR(A288="",H288=""),0,G288*J288)</f>
        <v>0</v>
      </c>
      <c r="R288" s="19" t="n">
        <f aca="false">IF(OR(A288="",H288=""),0,IF(H288&lt;J288,1,0))</f>
        <v>0</v>
      </c>
    </row>
    <row r="289" customFormat="false" ht="15" hidden="false" customHeight="false" outlineLevel="0" collapsed="false">
      <c r="A289" s="16"/>
      <c r="B289" s="17"/>
      <c r="C289" s="18"/>
      <c r="D289" s="17"/>
      <c r="E289" s="17"/>
      <c r="F289" s="17"/>
      <c r="G289" s="17"/>
      <c r="H289" s="17"/>
      <c r="I289" s="19" t="str">
        <f aca="false">IF(A289="","",D289*(E289-F289))</f>
        <v/>
      </c>
      <c r="J289" s="19" t="str">
        <f aca="false">IF(A289="","",IFERROR(INDEX(设定!$B$5:$B$14,MATCH(C289,设定!$A$5:$A$14,0)),0))</f>
        <v/>
      </c>
      <c r="K289" s="20" t="str">
        <f aca="false">IF(A289="","",G289*J289/1000)</f>
        <v/>
      </c>
      <c r="L289" s="20" t="str">
        <f aca="false">IF(A289="","",I289*IFERROR(INDEX(设定!$C$5:$C$14,MATCH(C289,设定!$A$5:$A$14,0)),0))</f>
        <v/>
      </c>
      <c r="M289" s="21" t="str">
        <f aca="false">IF(A289="","",IF(L289&gt;0,K289/L289,0))</f>
        <v/>
      </c>
      <c r="N289" s="21" t="str">
        <f aca="false">IF(OR(A289="",H289=""),"",IF(J289&gt;0,(H289-J289)/J289,0))</f>
        <v/>
      </c>
      <c r="O289" s="22" t="str">
        <f aca="false">IF(OR(A289="",H289=""),"",IF(H289&lt;J289,"⚠ 低于标示",""))</f>
        <v/>
      </c>
      <c r="P289" s="19" t="n">
        <f aca="false">IF(OR(A289="",H289=""),0,G289*(H289-J289))</f>
        <v>0</v>
      </c>
      <c r="Q289" s="19" t="n">
        <f aca="false">IF(OR(A289="",H289=""),0,G289*J289)</f>
        <v>0</v>
      </c>
      <c r="R289" s="19" t="n">
        <f aca="false">IF(OR(A289="",H289=""),0,IF(H289&lt;J289,1,0))</f>
        <v>0</v>
      </c>
    </row>
    <row r="290" customFormat="false" ht="15" hidden="false" customHeight="false" outlineLevel="0" collapsed="false">
      <c r="A290" s="16"/>
      <c r="B290" s="17"/>
      <c r="C290" s="18"/>
      <c r="D290" s="17"/>
      <c r="E290" s="17"/>
      <c r="F290" s="17"/>
      <c r="G290" s="17"/>
      <c r="H290" s="17"/>
      <c r="I290" s="19" t="str">
        <f aca="false">IF(A290="","",D290*(E290-F290))</f>
        <v/>
      </c>
      <c r="J290" s="19" t="str">
        <f aca="false">IF(A290="","",IFERROR(INDEX(设定!$B$5:$B$14,MATCH(C290,设定!$A$5:$A$14,0)),0))</f>
        <v/>
      </c>
      <c r="K290" s="20" t="str">
        <f aca="false">IF(A290="","",G290*J290/1000)</f>
        <v/>
      </c>
      <c r="L290" s="20" t="str">
        <f aca="false">IF(A290="","",I290*IFERROR(INDEX(设定!$C$5:$C$14,MATCH(C290,设定!$A$5:$A$14,0)),0))</f>
        <v/>
      </c>
      <c r="M290" s="21" t="str">
        <f aca="false">IF(A290="","",IF(L290&gt;0,K290/L290,0))</f>
        <v/>
      </c>
      <c r="N290" s="21" t="str">
        <f aca="false">IF(OR(A290="",H290=""),"",IF(J290&gt;0,(H290-J290)/J290,0))</f>
        <v/>
      </c>
      <c r="O290" s="22" t="str">
        <f aca="false">IF(OR(A290="",H290=""),"",IF(H290&lt;J290,"⚠ 低于标示",""))</f>
        <v/>
      </c>
      <c r="P290" s="19" t="n">
        <f aca="false">IF(OR(A290="",H290=""),0,G290*(H290-J290))</f>
        <v>0</v>
      </c>
      <c r="Q290" s="19" t="n">
        <f aca="false">IF(OR(A290="",H290=""),0,G290*J290)</f>
        <v>0</v>
      </c>
      <c r="R290" s="19" t="n">
        <f aca="false">IF(OR(A290="",H290=""),0,IF(H290&lt;J290,1,0))</f>
        <v>0</v>
      </c>
    </row>
    <row r="291" customFormat="false" ht="15" hidden="false" customHeight="false" outlineLevel="0" collapsed="false">
      <c r="A291" s="16"/>
      <c r="B291" s="17"/>
      <c r="C291" s="18"/>
      <c r="D291" s="17"/>
      <c r="E291" s="17"/>
      <c r="F291" s="17"/>
      <c r="G291" s="17"/>
      <c r="H291" s="17"/>
      <c r="I291" s="19" t="str">
        <f aca="false">IF(A291="","",D291*(E291-F291))</f>
        <v/>
      </c>
      <c r="J291" s="19" t="str">
        <f aca="false">IF(A291="","",IFERROR(INDEX(设定!$B$5:$B$14,MATCH(C291,设定!$A$5:$A$14,0)),0))</f>
        <v/>
      </c>
      <c r="K291" s="20" t="str">
        <f aca="false">IF(A291="","",G291*J291/1000)</f>
        <v/>
      </c>
      <c r="L291" s="20" t="str">
        <f aca="false">IF(A291="","",I291*IFERROR(INDEX(设定!$C$5:$C$14,MATCH(C291,设定!$A$5:$A$14,0)),0))</f>
        <v/>
      </c>
      <c r="M291" s="21" t="str">
        <f aca="false">IF(A291="","",IF(L291&gt;0,K291/L291,0))</f>
        <v/>
      </c>
      <c r="N291" s="21" t="str">
        <f aca="false">IF(OR(A291="",H291=""),"",IF(J291&gt;0,(H291-J291)/J291,0))</f>
        <v/>
      </c>
      <c r="O291" s="22" t="str">
        <f aca="false">IF(OR(A291="",H291=""),"",IF(H291&lt;J291,"⚠ 低于标示",""))</f>
        <v/>
      </c>
      <c r="P291" s="19" t="n">
        <f aca="false">IF(OR(A291="",H291=""),0,G291*(H291-J291))</f>
        <v>0</v>
      </c>
      <c r="Q291" s="19" t="n">
        <f aca="false">IF(OR(A291="",H291=""),0,G291*J291)</f>
        <v>0</v>
      </c>
      <c r="R291" s="19" t="n">
        <f aca="false">IF(OR(A291="",H291=""),0,IF(H291&lt;J291,1,0))</f>
        <v>0</v>
      </c>
    </row>
    <row r="292" customFormat="false" ht="15" hidden="false" customHeight="false" outlineLevel="0" collapsed="false">
      <c r="A292" s="16"/>
      <c r="B292" s="17"/>
      <c r="C292" s="18"/>
      <c r="D292" s="17"/>
      <c r="E292" s="17"/>
      <c r="F292" s="17"/>
      <c r="G292" s="17"/>
      <c r="H292" s="17"/>
      <c r="I292" s="19" t="str">
        <f aca="false">IF(A292="","",D292*(E292-F292))</f>
        <v/>
      </c>
      <c r="J292" s="19" t="str">
        <f aca="false">IF(A292="","",IFERROR(INDEX(设定!$B$5:$B$14,MATCH(C292,设定!$A$5:$A$14,0)),0))</f>
        <v/>
      </c>
      <c r="K292" s="20" t="str">
        <f aca="false">IF(A292="","",G292*J292/1000)</f>
        <v/>
      </c>
      <c r="L292" s="20" t="str">
        <f aca="false">IF(A292="","",I292*IFERROR(INDEX(设定!$C$5:$C$14,MATCH(C292,设定!$A$5:$A$14,0)),0))</f>
        <v/>
      </c>
      <c r="M292" s="21" t="str">
        <f aca="false">IF(A292="","",IF(L292&gt;0,K292/L292,0))</f>
        <v/>
      </c>
      <c r="N292" s="21" t="str">
        <f aca="false">IF(OR(A292="",H292=""),"",IF(J292&gt;0,(H292-J292)/J292,0))</f>
        <v/>
      </c>
      <c r="O292" s="22" t="str">
        <f aca="false">IF(OR(A292="",H292=""),"",IF(H292&lt;J292,"⚠ 低于标示",""))</f>
        <v/>
      </c>
      <c r="P292" s="19" t="n">
        <f aca="false">IF(OR(A292="",H292=""),0,G292*(H292-J292))</f>
        <v>0</v>
      </c>
      <c r="Q292" s="19" t="n">
        <f aca="false">IF(OR(A292="",H292=""),0,G292*J292)</f>
        <v>0</v>
      </c>
      <c r="R292" s="19" t="n">
        <f aca="false">IF(OR(A292="",H292=""),0,IF(H292&lt;J292,1,0))</f>
        <v>0</v>
      </c>
    </row>
    <row r="293" customFormat="false" ht="15" hidden="false" customHeight="false" outlineLevel="0" collapsed="false">
      <c r="A293" s="16"/>
      <c r="B293" s="17"/>
      <c r="C293" s="18"/>
      <c r="D293" s="17"/>
      <c r="E293" s="17"/>
      <c r="F293" s="17"/>
      <c r="G293" s="17"/>
      <c r="H293" s="17"/>
      <c r="I293" s="19" t="str">
        <f aca="false">IF(A293="","",D293*(E293-F293))</f>
        <v/>
      </c>
      <c r="J293" s="19" t="str">
        <f aca="false">IF(A293="","",IFERROR(INDEX(设定!$B$5:$B$14,MATCH(C293,设定!$A$5:$A$14,0)),0))</f>
        <v/>
      </c>
      <c r="K293" s="20" t="str">
        <f aca="false">IF(A293="","",G293*J293/1000)</f>
        <v/>
      </c>
      <c r="L293" s="20" t="str">
        <f aca="false">IF(A293="","",I293*IFERROR(INDEX(设定!$C$5:$C$14,MATCH(C293,设定!$A$5:$A$14,0)),0))</f>
        <v/>
      </c>
      <c r="M293" s="21" t="str">
        <f aca="false">IF(A293="","",IF(L293&gt;0,K293/L293,0))</f>
        <v/>
      </c>
      <c r="N293" s="21" t="str">
        <f aca="false">IF(OR(A293="",H293=""),"",IF(J293&gt;0,(H293-J293)/J293,0))</f>
        <v/>
      </c>
      <c r="O293" s="22" t="str">
        <f aca="false">IF(OR(A293="",H293=""),"",IF(H293&lt;J293,"⚠ 低于标示",""))</f>
        <v/>
      </c>
      <c r="P293" s="19" t="n">
        <f aca="false">IF(OR(A293="",H293=""),0,G293*(H293-J293))</f>
        <v>0</v>
      </c>
      <c r="Q293" s="19" t="n">
        <f aca="false">IF(OR(A293="",H293=""),0,G293*J293)</f>
        <v>0</v>
      </c>
      <c r="R293" s="19" t="n">
        <f aca="false">IF(OR(A293="",H293=""),0,IF(H293&lt;J293,1,0))</f>
        <v>0</v>
      </c>
    </row>
    <row r="294" customFormat="false" ht="15" hidden="false" customHeight="false" outlineLevel="0" collapsed="false">
      <c r="A294" s="16"/>
      <c r="B294" s="17"/>
      <c r="C294" s="18"/>
      <c r="D294" s="17"/>
      <c r="E294" s="17"/>
      <c r="F294" s="17"/>
      <c r="G294" s="17"/>
      <c r="H294" s="17"/>
      <c r="I294" s="19" t="str">
        <f aca="false">IF(A294="","",D294*(E294-F294))</f>
        <v/>
      </c>
      <c r="J294" s="19" t="str">
        <f aca="false">IF(A294="","",IFERROR(INDEX(设定!$B$5:$B$14,MATCH(C294,设定!$A$5:$A$14,0)),0))</f>
        <v/>
      </c>
      <c r="K294" s="20" t="str">
        <f aca="false">IF(A294="","",G294*J294/1000)</f>
        <v/>
      </c>
      <c r="L294" s="20" t="str">
        <f aca="false">IF(A294="","",I294*IFERROR(INDEX(设定!$C$5:$C$14,MATCH(C294,设定!$A$5:$A$14,0)),0))</f>
        <v/>
      </c>
      <c r="M294" s="21" t="str">
        <f aca="false">IF(A294="","",IF(L294&gt;0,K294/L294,0))</f>
        <v/>
      </c>
      <c r="N294" s="21" t="str">
        <f aca="false">IF(OR(A294="",H294=""),"",IF(J294&gt;0,(H294-J294)/J294,0))</f>
        <v/>
      </c>
      <c r="O294" s="22" t="str">
        <f aca="false">IF(OR(A294="",H294=""),"",IF(H294&lt;J294,"⚠ 低于标示",""))</f>
        <v/>
      </c>
      <c r="P294" s="19" t="n">
        <f aca="false">IF(OR(A294="",H294=""),0,G294*(H294-J294))</f>
        <v>0</v>
      </c>
      <c r="Q294" s="19" t="n">
        <f aca="false">IF(OR(A294="",H294=""),0,G294*J294)</f>
        <v>0</v>
      </c>
      <c r="R294" s="19" t="n">
        <f aca="false">IF(OR(A294="",H294=""),0,IF(H294&lt;J294,1,0))</f>
        <v>0</v>
      </c>
    </row>
    <row r="295" customFormat="false" ht="15" hidden="false" customHeight="false" outlineLevel="0" collapsed="false">
      <c r="A295" s="16"/>
      <c r="B295" s="17"/>
      <c r="C295" s="18"/>
      <c r="D295" s="17"/>
      <c r="E295" s="17"/>
      <c r="F295" s="17"/>
      <c r="G295" s="17"/>
      <c r="H295" s="17"/>
      <c r="I295" s="19" t="str">
        <f aca="false">IF(A295="","",D295*(E295-F295))</f>
        <v/>
      </c>
      <c r="J295" s="19" t="str">
        <f aca="false">IF(A295="","",IFERROR(INDEX(设定!$B$5:$B$14,MATCH(C295,设定!$A$5:$A$14,0)),0))</f>
        <v/>
      </c>
      <c r="K295" s="20" t="str">
        <f aca="false">IF(A295="","",G295*J295/1000)</f>
        <v/>
      </c>
      <c r="L295" s="20" t="str">
        <f aca="false">IF(A295="","",I295*IFERROR(INDEX(设定!$C$5:$C$14,MATCH(C295,设定!$A$5:$A$14,0)),0))</f>
        <v/>
      </c>
      <c r="M295" s="21" t="str">
        <f aca="false">IF(A295="","",IF(L295&gt;0,K295/L295,0))</f>
        <v/>
      </c>
      <c r="N295" s="21" t="str">
        <f aca="false">IF(OR(A295="",H295=""),"",IF(J295&gt;0,(H295-J295)/J295,0))</f>
        <v/>
      </c>
      <c r="O295" s="22" t="str">
        <f aca="false">IF(OR(A295="",H295=""),"",IF(H295&lt;J295,"⚠ 低于标示",""))</f>
        <v/>
      </c>
      <c r="P295" s="19" t="n">
        <f aca="false">IF(OR(A295="",H295=""),0,G295*(H295-J295))</f>
        <v>0</v>
      </c>
      <c r="Q295" s="19" t="n">
        <f aca="false">IF(OR(A295="",H295=""),0,G295*J295)</f>
        <v>0</v>
      </c>
      <c r="R295" s="19" t="n">
        <f aca="false">IF(OR(A295="",H295=""),0,IF(H295&lt;J295,1,0))</f>
        <v>0</v>
      </c>
    </row>
    <row r="296" customFormat="false" ht="15" hidden="false" customHeight="false" outlineLevel="0" collapsed="false">
      <c r="A296" s="16"/>
      <c r="B296" s="17"/>
      <c r="C296" s="18"/>
      <c r="D296" s="17"/>
      <c r="E296" s="17"/>
      <c r="F296" s="17"/>
      <c r="G296" s="17"/>
      <c r="H296" s="17"/>
      <c r="I296" s="19" t="str">
        <f aca="false">IF(A296="","",D296*(E296-F296))</f>
        <v/>
      </c>
      <c r="J296" s="19" t="str">
        <f aca="false">IF(A296="","",IFERROR(INDEX(设定!$B$5:$B$14,MATCH(C296,设定!$A$5:$A$14,0)),0))</f>
        <v/>
      </c>
      <c r="K296" s="20" t="str">
        <f aca="false">IF(A296="","",G296*J296/1000)</f>
        <v/>
      </c>
      <c r="L296" s="20" t="str">
        <f aca="false">IF(A296="","",I296*IFERROR(INDEX(设定!$C$5:$C$14,MATCH(C296,设定!$A$5:$A$14,0)),0))</f>
        <v/>
      </c>
      <c r="M296" s="21" t="str">
        <f aca="false">IF(A296="","",IF(L296&gt;0,K296/L296,0))</f>
        <v/>
      </c>
      <c r="N296" s="21" t="str">
        <f aca="false">IF(OR(A296="",H296=""),"",IF(J296&gt;0,(H296-J296)/J296,0))</f>
        <v/>
      </c>
      <c r="O296" s="22" t="str">
        <f aca="false">IF(OR(A296="",H296=""),"",IF(H296&lt;J296,"⚠ 低于标示",""))</f>
        <v/>
      </c>
      <c r="P296" s="19" t="n">
        <f aca="false">IF(OR(A296="",H296=""),0,G296*(H296-J296))</f>
        <v>0</v>
      </c>
      <c r="Q296" s="19" t="n">
        <f aca="false">IF(OR(A296="",H296=""),0,G296*J296)</f>
        <v>0</v>
      </c>
      <c r="R296" s="19" t="n">
        <f aca="false">IF(OR(A296="",H296=""),0,IF(H296&lt;J296,1,0))</f>
        <v>0</v>
      </c>
    </row>
    <row r="297" customFormat="false" ht="15" hidden="false" customHeight="false" outlineLevel="0" collapsed="false">
      <c r="A297" s="16"/>
      <c r="B297" s="17"/>
      <c r="C297" s="18"/>
      <c r="D297" s="17"/>
      <c r="E297" s="17"/>
      <c r="F297" s="17"/>
      <c r="G297" s="17"/>
      <c r="H297" s="17"/>
      <c r="I297" s="19" t="str">
        <f aca="false">IF(A297="","",D297*(E297-F297))</f>
        <v/>
      </c>
      <c r="J297" s="19" t="str">
        <f aca="false">IF(A297="","",IFERROR(INDEX(设定!$B$5:$B$14,MATCH(C297,设定!$A$5:$A$14,0)),0))</f>
        <v/>
      </c>
      <c r="K297" s="20" t="str">
        <f aca="false">IF(A297="","",G297*J297/1000)</f>
        <v/>
      </c>
      <c r="L297" s="20" t="str">
        <f aca="false">IF(A297="","",I297*IFERROR(INDEX(设定!$C$5:$C$14,MATCH(C297,设定!$A$5:$A$14,0)),0))</f>
        <v/>
      </c>
      <c r="M297" s="21" t="str">
        <f aca="false">IF(A297="","",IF(L297&gt;0,K297/L297,0))</f>
        <v/>
      </c>
      <c r="N297" s="21" t="str">
        <f aca="false">IF(OR(A297="",H297=""),"",IF(J297&gt;0,(H297-J297)/J297,0))</f>
        <v/>
      </c>
      <c r="O297" s="22" t="str">
        <f aca="false">IF(OR(A297="",H297=""),"",IF(H297&lt;J297,"⚠ 低于标示",""))</f>
        <v/>
      </c>
      <c r="P297" s="19" t="n">
        <f aca="false">IF(OR(A297="",H297=""),0,G297*(H297-J297))</f>
        <v>0</v>
      </c>
      <c r="Q297" s="19" t="n">
        <f aca="false">IF(OR(A297="",H297=""),0,G297*J297)</f>
        <v>0</v>
      </c>
      <c r="R297" s="19" t="n">
        <f aca="false">IF(OR(A297="",H297=""),0,IF(H297&lt;J297,1,0))</f>
        <v>0</v>
      </c>
    </row>
    <row r="298" customFormat="false" ht="15" hidden="false" customHeight="false" outlineLevel="0" collapsed="false">
      <c r="A298" s="16"/>
      <c r="B298" s="17"/>
      <c r="C298" s="18"/>
      <c r="D298" s="17"/>
      <c r="E298" s="17"/>
      <c r="F298" s="17"/>
      <c r="G298" s="17"/>
      <c r="H298" s="17"/>
      <c r="I298" s="19" t="str">
        <f aca="false">IF(A298="","",D298*(E298-F298))</f>
        <v/>
      </c>
      <c r="J298" s="19" t="str">
        <f aca="false">IF(A298="","",IFERROR(INDEX(设定!$B$5:$B$14,MATCH(C298,设定!$A$5:$A$14,0)),0))</f>
        <v/>
      </c>
      <c r="K298" s="20" t="str">
        <f aca="false">IF(A298="","",G298*J298/1000)</f>
        <v/>
      </c>
      <c r="L298" s="20" t="str">
        <f aca="false">IF(A298="","",I298*IFERROR(INDEX(设定!$C$5:$C$14,MATCH(C298,设定!$A$5:$A$14,0)),0))</f>
        <v/>
      </c>
      <c r="M298" s="21" t="str">
        <f aca="false">IF(A298="","",IF(L298&gt;0,K298/L298,0))</f>
        <v/>
      </c>
      <c r="N298" s="21" t="str">
        <f aca="false">IF(OR(A298="",H298=""),"",IF(J298&gt;0,(H298-J298)/J298,0))</f>
        <v/>
      </c>
      <c r="O298" s="22" t="str">
        <f aca="false">IF(OR(A298="",H298=""),"",IF(H298&lt;J298,"⚠ 低于标示",""))</f>
        <v/>
      </c>
      <c r="P298" s="19" t="n">
        <f aca="false">IF(OR(A298="",H298=""),0,G298*(H298-J298))</f>
        <v>0</v>
      </c>
      <c r="Q298" s="19" t="n">
        <f aca="false">IF(OR(A298="",H298=""),0,G298*J298)</f>
        <v>0</v>
      </c>
      <c r="R298" s="19" t="n">
        <f aca="false">IF(OR(A298="",H298=""),0,IF(H298&lt;J298,1,0))</f>
        <v>0</v>
      </c>
    </row>
    <row r="299" customFormat="false" ht="15" hidden="false" customHeight="false" outlineLevel="0" collapsed="false">
      <c r="A299" s="16"/>
      <c r="B299" s="17"/>
      <c r="C299" s="18"/>
      <c r="D299" s="17"/>
      <c r="E299" s="17"/>
      <c r="F299" s="17"/>
      <c r="G299" s="17"/>
      <c r="H299" s="17"/>
      <c r="I299" s="19" t="str">
        <f aca="false">IF(A299="","",D299*(E299-F299))</f>
        <v/>
      </c>
      <c r="J299" s="19" t="str">
        <f aca="false">IF(A299="","",IFERROR(INDEX(设定!$B$5:$B$14,MATCH(C299,设定!$A$5:$A$14,0)),0))</f>
        <v/>
      </c>
      <c r="K299" s="20" t="str">
        <f aca="false">IF(A299="","",G299*J299/1000)</f>
        <v/>
      </c>
      <c r="L299" s="20" t="str">
        <f aca="false">IF(A299="","",I299*IFERROR(INDEX(设定!$C$5:$C$14,MATCH(C299,设定!$A$5:$A$14,0)),0))</f>
        <v/>
      </c>
      <c r="M299" s="21" t="str">
        <f aca="false">IF(A299="","",IF(L299&gt;0,K299/L299,0))</f>
        <v/>
      </c>
      <c r="N299" s="21" t="str">
        <f aca="false">IF(OR(A299="",H299=""),"",IF(J299&gt;0,(H299-J299)/J299,0))</f>
        <v/>
      </c>
      <c r="O299" s="22" t="str">
        <f aca="false">IF(OR(A299="",H299=""),"",IF(H299&lt;J299,"⚠ 低于标示",""))</f>
        <v/>
      </c>
      <c r="P299" s="19" t="n">
        <f aca="false">IF(OR(A299="",H299=""),0,G299*(H299-J299))</f>
        <v>0</v>
      </c>
      <c r="Q299" s="19" t="n">
        <f aca="false">IF(OR(A299="",H299=""),0,G299*J299)</f>
        <v>0</v>
      </c>
      <c r="R299" s="19" t="n">
        <f aca="false">IF(OR(A299="",H299=""),0,IF(H299&lt;J299,1,0))</f>
        <v>0</v>
      </c>
    </row>
    <row r="300" customFormat="false" ht="15" hidden="false" customHeight="false" outlineLevel="0" collapsed="false">
      <c r="A300" s="16"/>
      <c r="B300" s="17"/>
      <c r="C300" s="18"/>
      <c r="D300" s="17"/>
      <c r="E300" s="17"/>
      <c r="F300" s="17"/>
      <c r="G300" s="17"/>
      <c r="H300" s="17"/>
      <c r="I300" s="19" t="str">
        <f aca="false">IF(A300="","",D300*(E300-F300))</f>
        <v/>
      </c>
      <c r="J300" s="19" t="str">
        <f aca="false">IF(A300="","",IFERROR(INDEX(设定!$B$5:$B$14,MATCH(C300,设定!$A$5:$A$14,0)),0))</f>
        <v/>
      </c>
      <c r="K300" s="20" t="str">
        <f aca="false">IF(A300="","",G300*J300/1000)</f>
        <v/>
      </c>
      <c r="L300" s="20" t="str">
        <f aca="false">IF(A300="","",I300*IFERROR(INDEX(设定!$C$5:$C$14,MATCH(C300,设定!$A$5:$A$14,0)),0))</f>
        <v/>
      </c>
      <c r="M300" s="21" t="str">
        <f aca="false">IF(A300="","",IF(L300&gt;0,K300/L300,0))</f>
        <v/>
      </c>
      <c r="N300" s="21" t="str">
        <f aca="false">IF(OR(A300="",H300=""),"",IF(J300&gt;0,(H300-J300)/J300,0))</f>
        <v/>
      </c>
      <c r="O300" s="22" t="str">
        <f aca="false">IF(OR(A300="",H300=""),"",IF(H300&lt;J300,"⚠ 低于标示",""))</f>
        <v/>
      </c>
      <c r="P300" s="19" t="n">
        <f aca="false">IF(OR(A300="",H300=""),0,G300*(H300-J300))</f>
        <v>0</v>
      </c>
      <c r="Q300" s="19" t="n">
        <f aca="false">IF(OR(A300="",H300=""),0,G300*J300)</f>
        <v>0</v>
      </c>
      <c r="R300" s="19" t="n">
        <f aca="false">IF(OR(A300="",H300=""),0,IF(H300&lt;J300,1,0))</f>
        <v>0</v>
      </c>
    </row>
    <row r="301" customFormat="false" ht="15" hidden="false" customHeight="false" outlineLevel="0" collapsed="false">
      <c r="A301" s="16"/>
      <c r="B301" s="17"/>
      <c r="C301" s="18"/>
      <c r="D301" s="17"/>
      <c r="E301" s="17"/>
      <c r="F301" s="17"/>
      <c r="G301" s="17"/>
      <c r="H301" s="17"/>
      <c r="I301" s="19" t="str">
        <f aca="false">IF(A301="","",D301*(E301-F301))</f>
        <v/>
      </c>
      <c r="J301" s="19" t="str">
        <f aca="false">IF(A301="","",IFERROR(INDEX(设定!$B$5:$B$14,MATCH(C301,设定!$A$5:$A$14,0)),0))</f>
        <v/>
      </c>
      <c r="K301" s="20" t="str">
        <f aca="false">IF(A301="","",G301*J301/1000)</f>
        <v/>
      </c>
      <c r="L301" s="20" t="str">
        <f aca="false">IF(A301="","",I301*IFERROR(INDEX(设定!$C$5:$C$14,MATCH(C301,设定!$A$5:$A$14,0)),0))</f>
        <v/>
      </c>
      <c r="M301" s="21" t="str">
        <f aca="false">IF(A301="","",IF(L301&gt;0,K301/L301,0))</f>
        <v/>
      </c>
      <c r="N301" s="21" t="str">
        <f aca="false">IF(OR(A301="",H301=""),"",IF(J301&gt;0,(H301-J301)/J301,0))</f>
        <v/>
      </c>
      <c r="O301" s="22" t="str">
        <f aca="false">IF(OR(A301="",H301=""),"",IF(H301&lt;J301,"⚠ 低于标示",""))</f>
        <v/>
      </c>
      <c r="P301" s="19" t="n">
        <f aca="false">IF(OR(A301="",H301=""),0,G301*(H301-J301))</f>
        <v>0</v>
      </c>
      <c r="Q301" s="19" t="n">
        <f aca="false">IF(OR(A301="",H301=""),0,G301*J301)</f>
        <v>0</v>
      </c>
      <c r="R301" s="19" t="n">
        <f aca="false">IF(OR(A301="",H301=""),0,IF(H301&lt;J301,1,0))</f>
        <v>0</v>
      </c>
    </row>
    <row r="302" customFormat="false" ht="15" hidden="false" customHeight="false" outlineLevel="0" collapsed="false">
      <c r="A302" s="16"/>
      <c r="B302" s="17"/>
      <c r="C302" s="18"/>
      <c r="D302" s="17"/>
      <c r="E302" s="17"/>
      <c r="F302" s="17"/>
      <c r="G302" s="17"/>
      <c r="H302" s="17"/>
      <c r="I302" s="19" t="str">
        <f aca="false">IF(A302="","",D302*(E302-F302))</f>
        <v/>
      </c>
      <c r="J302" s="19" t="str">
        <f aca="false">IF(A302="","",IFERROR(INDEX(设定!$B$5:$B$14,MATCH(C302,设定!$A$5:$A$14,0)),0))</f>
        <v/>
      </c>
      <c r="K302" s="20" t="str">
        <f aca="false">IF(A302="","",G302*J302/1000)</f>
        <v/>
      </c>
      <c r="L302" s="20" t="str">
        <f aca="false">IF(A302="","",I302*IFERROR(INDEX(设定!$C$5:$C$14,MATCH(C302,设定!$A$5:$A$14,0)),0))</f>
        <v/>
      </c>
      <c r="M302" s="21" t="str">
        <f aca="false">IF(A302="","",IF(L302&gt;0,K302/L302,0))</f>
        <v/>
      </c>
      <c r="N302" s="21" t="str">
        <f aca="false">IF(OR(A302="",H302=""),"",IF(J302&gt;0,(H302-J302)/J302,0))</f>
        <v/>
      </c>
      <c r="O302" s="22" t="str">
        <f aca="false">IF(OR(A302="",H302=""),"",IF(H302&lt;J302,"⚠ 低于标示",""))</f>
        <v/>
      </c>
      <c r="P302" s="19" t="n">
        <f aca="false">IF(OR(A302="",H302=""),0,G302*(H302-J302))</f>
        <v>0</v>
      </c>
      <c r="Q302" s="19" t="n">
        <f aca="false">IF(OR(A302="",H302=""),0,G302*J302)</f>
        <v>0</v>
      </c>
      <c r="R302" s="19" t="n">
        <f aca="false">IF(OR(A302="",H302=""),0,IF(H302&lt;J302,1,0))</f>
        <v>0</v>
      </c>
    </row>
    <row r="303" customFormat="false" ht="15" hidden="false" customHeight="false" outlineLevel="0" collapsed="false">
      <c r="A303" s="16"/>
      <c r="B303" s="17"/>
      <c r="C303" s="18"/>
      <c r="D303" s="17"/>
      <c r="E303" s="17"/>
      <c r="F303" s="17"/>
      <c r="G303" s="17"/>
      <c r="H303" s="17"/>
      <c r="I303" s="19" t="str">
        <f aca="false">IF(A303="","",D303*(E303-F303))</f>
        <v/>
      </c>
      <c r="J303" s="19" t="str">
        <f aca="false">IF(A303="","",IFERROR(INDEX(设定!$B$5:$B$14,MATCH(C303,设定!$A$5:$A$14,0)),0))</f>
        <v/>
      </c>
      <c r="K303" s="20" t="str">
        <f aca="false">IF(A303="","",G303*J303/1000)</f>
        <v/>
      </c>
      <c r="L303" s="20" t="str">
        <f aca="false">IF(A303="","",I303*IFERROR(INDEX(设定!$C$5:$C$14,MATCH(C303,设定!$A$5:$A$14,0)),0))</f>
        <v/>
      </c>
      <c r="M303" s="21" t="str">
        <f aca="false">IF(A303="","",IF(L303&gt;0,K303/L303,0))</f>
        <v/>
      </c>
      <c r="N303" s="21" t="str">
        <f aca="false">IF(OR(A303="",H303=""),"",IF(J303&gt;0,(H303-J303)/J303,0))</f>
        <v/>
      </c>
      <c r="O303" s="22" t="str">
        <f aca="false">IF(OR(A303="",H303=""),"",IF(H303&lt;J303,"⚠ 低于标示",""))</f>
        <v/>
      </c>
      <c r="P303" s="19" t="n">
        <f aca="false">IF(OR(A303="",H303=""),0,G303*(H303-J303))</f>
        <v>0</v>
      </c>
      <c r="Q303" s="19" t="n">
        <f aca="false">IF(OR(A303="",H303=""),0,G303*J303)</f>
        <v>0</v>
      </c>
      <c r="R303" s="19" t="n">
        <f aca="false">IF(OR(A303="",H303=""),0,IF(H303&lt;J303,1,0))</f>
        <v>0</v>
      </c>
    </row>
    <row r="304" customFormat="false" ht="15" hidden="false" customHeight="false" outlineLevel="0" collapsed="false">
      <c r="A304" s="16"/>
      <c r="B304" s="17"/>
      <c r="C304" s="18"/>
      <c r="D304" s="17"/>
      <c r="E304" s="17"/>
      <c r="F304" s="17"/>
      <c r="G304" s="17"/>
      <c r="H304" s="17"/>
      <c r="I304" s="19" t="str">
        <f aca="false">IF(A304="","",D304*(E304-F304))</f>
        <v/>
      </c>
      <c r="J304" s="19" t="str">
        <f aca="false">IF(A304="","",IFERROR(INDEX(设定!$B$5:$B$14,MATCH(C304,设定!$A$5:$A$14,0)),0))</f>
        <v/>
      </c>
      <c r="K304" s="20" t="str">
        <f aca="false">IF(A304="","",G304*J304/1000)</f>
        <v/>
      </c>
      <c r="L304" s="20" t="str">
        <f aca="false">IF(A304="","",I304*IFERROR(INDEX(设定!$C$5:$C$14,MATCH(C304,设定!$A$5:$A$14,0)),0))</f>
        <v/>
      </c>
      <c r="M304" s="21" t="str">
        <f aca="false">IF(A304="","",IF(L304&gt;0,K304/L304,0))</f>
        <v/>
      </c>
      <c r="N304" s="21" t="str">
        <f aca="false">IF(OR(A304="",H304=""),"",IF(J304&gt;0,(H304-J304)/J304,0))</f>
        <v/>
      </c>
      <c r="O304" s="22" t="str">
        <f aca="false">IF(OR(A304="",H304=""),"",IF(H304&lt;J304,"⚠ 低于标示",""))</f>
        <v/>
      </c>
      <c r="P304" s="19" t="n">
        <f aca="false">IF(OR(A304="",H304=""),0,G304*(H304-J304))</f>
        <v>0</v>
      </c>
      <c r="Q304" s="19" t="n">
        <f aca="false">IF(OR(A304="",H304=""),0,G304*J304)</f>
        <v>0</v>
      </c>
      <c r="R304" s="19" t="n">
        <f aca="false">IF(OR(A304="",H304=""),0,IF(H304&lt;J304,1,0))</f>
        <v>0</v>
      </c>
    </row>
    <row r="305" customFormat="false" ht="15" hidden="false" customHeight="false" outlineLevel="0" collapsed="false">
      <c r="A305" s="16"/>
      <c r="B305" s="17"/>
      <c r="C305" s="18"/>
      <c r="D305" s="17"/>
      <c r="E305" s="17"/>
      <c r="F305" s="17"/>
      <c r="G305" s="17"/>
      <c r="H305" s="17"/>
      <c r="I305" s="19" t="str">
        <f aca="false">IF(A305="","",D305*(E305-F305))</f>
        <v/>
      </c>
      <c r="J305" s="19" t="str">
        <f aca="false">IF(A305="","",IFERROR(INDEX(设定!$B$5:$B$14,MATCH(C305,设定!$A$5:$A$14,0)),0))</f>
        <v/>
      </c>
      <c r="K305" s="20" t="str">
        <f aca="false">IF(A305="","",G305*J305/1000)</f>
        <v/>
      </c>
      <c r="L305" s="20" t="str">
        <f aca="false">IF(A305="","",I305*IFERROR(INDEX(设定!$C$5:$C$14,MATCH(C305,设定!$A$5:$A$14,0)),0))</f>
        <v/>
      </c>
      <c r="M305" s="21" t="str">
        <f aca="false">IF(A305="","",IF(L305&gt;0,K305/L305,0))</f>
        <v/>
      </c>
      <c r="N305" s="21" t="str">
        <f aca="false">IF(OR(A305="",H305=""),"",IF(J305&gt;0,(H305-J305)/J305,0))</f>
        <v/>
      </c>
      <c r="O305" s="22" t="str">
        <f aca="false">IF(OR(A305="",H305=""),"",IF(H305&lt;J305,"⚠ 低于标示",""))</f>
        <v/>
      </c>
      <c r="P305" s="19" t="n">
        <f aca="false">IF(OR(A305="",H305=""),0,G305*(H305-J305))</f>
        <v>0</v>
      </c>
      <c r="Q305" s="19" t="n">
        <f aca="false">IF(OR(A305="",H305=""),0,G305*J305)</f>
        <v>0</v>
      </c>
      <c r="R305" s="19" t="n">
        <f aca="false">IF(OR(A305="",H305=""),0,IF(H305&lt;J305,1,0))</f>
        <v>0</v>
      </c>
    </row>
    <row r="306" customFormat="false" ht="15" hidden="false" customHeight="false" outlineLevel="0" collapsed="false">
      <c r="A306" s="16"/>
      <c r="B306" s="17"/>
      <c r="C306" s="18"/>
      <c r="D306" s="17"/>
      <c r="E306" s="17"/>
      <c r="F306" s="17"/>
      <c r="G306" s="17"/>
      <c r="H306" s="17"/>
      <c r="I306" s="19" t="str">
        <f aca="false">IF(A306="","",D306*(E306-F306))</f>
        <v/>
      </c>
      <c r="J306" s="19" t="str">
        <f aca="false">IF(A306="","",IFERROR(INDEX(设定!$B$5:$B$14,MATCH(C306,设定!$A$5:$A$14,0)),0))</f>
        <v/>
      </c>
      <c r="K306" s="20" t="str">
        <f aca="false">IF(A306="","",G306*J306/1000)</f>
        <v/>
      </c>
      <c r="L306" s="20" t="str">
        <f aca="false">IF(A306="","",I306*IFERROR(INDEX(设定!$C$5:$C$14,MATCH(C306,设定!$A$5:$A$14,0)),0))</f>
        <v/>
      </c>
      <c r="M306" s="21" t="str">
        <f aca="false">IF(A306="","",IF(L306&gt;0,K306/L306,0))</f>
        <v/>
      </c>
      <c r="N306" s="21" t="str">
        <f aca="false">IF(OR(A306="",H306=""),"",IF(J306&gt;0,(H306-J306)/J306,0))</f>
        <v/>
      </c>
      <c r="O306" s="22" t="str">
        <f aca="false">IF(OR(A306="",H306=""),"",IF(H306&lt;J306,"⚠ 低于标示",""))</f>
        <v/>
      </c>
      <c r="P306" s="19" t="n">
        <f aca="false">IF(OR(A306="",H306=""),0,G306*(H306-J306))</f>
        <v>0</v>
      </c>
      <c r="Q306" s="19" t="n">
        <f aca="false">IF(OR(A306="",H306=""),0,G306*J306)</f>
        <v>0</v>
      </c>
      <c r="R306" s="19" t="n">
        <f aca="false">IF(OR(A306="",H306=""),0,IF(H306&lt;J306,1,0))</f>
        <v>0</v>
      </c>
    </row>
    <row r="307" customFormat="false" ht="15" hidden="false" customHeight="false" outlineLevel="0" collapsed="false">
      <c r="A307" s="16"/>
      <c r="B307" s="17"/>
      <c r="C307" s="18"/>
      <c r="D307" s="17"/>
      <c r="E307" s="17"/>
      <c r="F307" s="17"/>
      <c r="G307" s="17"/>
      <c r="H307" s="17"/>
      <c r="I307" s="19" t="str">
        <f aca="false">IF(A307="","",D307*(E307-F307))</f>
        <v/>
      </c>
      <c r="J307" s="19" t="str">
        <f aca="false">IF(A307="","",IFERROR(INDEX(设定!$B$5:$B$14,MATCH(C307,设定!$A$5:$A$14,0)),0))</f>
        <v/>
      </c>
      <c r="K307" s="20" t="str">
        <f aca="false">IF(A307="","",G307*J307/1000)</f>
        <v/>
      </c>
      <c r="L307" s="20" t="str">
        <f aca="false">IF(A307="","",I307*IFERROR(INDEX(设定!$C$5:$C$14,MATCH(C307,设定!$A$5:$A$14,0)),0))</f>
        <v/>
      </c>
      <c r="M307" s="21" t="str">
        <f aca="false">IF(A307="","",IF(L307&gt;0,K307/L307,0))</f>
        <v/>
      </c>
      <c r="N307" s="21" t="str">
        <f aca="false">IF(OR(A307="",H307=""),"",IF(J307&gt;0,(H307-J307)/J307,0))</f>
        <v/>
      </c>
      <c r="O307" s="22" t="str">
        <f aca="false">IF(OR(A307="",H307=""),"",IF(H307&lt;J307,"⚠ 低于标示",""))</f>
        <v/>
      </c>
      <c r="P307" s="19" t="n">
        <f aca="false">IF(OR(A307="",H307=""),0,G307*(H307-J307))</f>
        <v>0</v>
      </c>
      <c r="Q307" s="19" t="n">
        <f aca="false">IF(OR(A307="",H307=""),0,G307*J307)</f>
        <v>0</v>
      </c>
      <c r="R307" s="19" t="n">
        <f aca="false">IF(OR(A307="",H307=""),0,IF(H307&lt;J307,1,0))</f>
        <v>0</v>
      </c>
    </row>
    <row r="308" customFormat="false" ht="15" hidden="false" customHeight="false" outlineLevel="0" collapsed="false">
      <c r="A308" s="16"/>
      <c r="B308" s="17"/>
      <c r="C308" s="18"/>
      <c r="D308" s="17"/>
      <c r="E308" s="17"/>
      <c r="F308" s="17"/>
      <c r="G308" s="17"/>
      <c r="H308" s="17"/>
      <c r="I308" s="19" t="str">
        <f aca="false">IF(A308="","",D308*(E308-F308))</f>
        <v/>
      </c>
      <c r="J308" s="19" t="str">
        <f aca="false">IF(A308="","",IFERROR(INDEX(设定!$B$5:$B$14,MATCH(C308,设定!$A$5:$A$14,0)),0))</f>
        <v/>
      </c>
      <c r="K308" s="20" t="str">
        <f aca="false">IF(A308="","",G308*J308/1000)</f>
        <v/>
      </c>
      <c r="L308" s="20" t="str">
        <f aca="false">IF(A308="","",I308*IFERROR(INDEX(设定!$C$5:$C$14,MATCH(C308,设定!$A$5:$A$14,0)),0))</f>
        <v/>
      </c>
      <c r="M308" s="21" t="str">
        <f aca="false">IF(A308="","",IF(L308&gt;0,K308/L308,0))</f>
        <v/>
      </c>
      <c r="N308" s="21" t="str">
        <f aca="false">IF(OR(A308="",H308=""),"",IF(J308&gt;0,(H308-J308)/J308,0))</f>
        <v/>
      </c>
      <c r="O308" s="22" t="str">
        <f aca="false">IF(OR(A308="",H308=""),"",IF(H308&lt;J308,"⚠ 低于标示",""))</f>
        <v/>
      </c>
      <c r="P308" s="19" t="n">
        <f aca="false">IF(OR(A308="",H308=""),0,G308*(H308-J308))</f>
        <v>0</v>
      </c>
      <c r="Q308" s="19" t="n">
        <f aca="false">IF(OR(A308="",H308=""),0,G308*J308)</f>
        <v>0</v>
      </c>
      <c r="R308" s="19" t="n">
        <f aca="false">IF(OR(A308="",H308=""),0,IF(H308&lt;J308,1,0))</f>
        <v>0</v>
      </c>
    </row>
    <row r="309" customFormat="false" ht="15" hidden="false" customHeight="false" outlineLevel="0" collapsed="false">
      <c r="A309" s="16"/>
      <c r="B309" s="17"/>
      <c r="C309" s="18"/>
      <c r="D309" s="17"/>
      <c r="E309" s="17"/>
      <c r="F309" s="17"/>
      <c r="G309" s="17"/>
      <c r="H309" s="17"/>
      <c r="I309" s="19" t="str">
        <f aca="false">IF(A309="","",D309*(E309-F309))</f>
        <v/>
      </c>
      <c r="J309" s="19" t="str">
        <f aca="false">IF(A309="","",IFERROR(INDEX(设定!$B$5:$B$14,MATCH(C309,设定!$A$5:$A$14,0)),0))</f>
        <v/>
      </c>
      <c r="K309" s="20" t="str">
        <f aca="false">IF(A309="","",G309*J309/1000)</f>
        <v/>
      </c>
      <c r="L309" s="20" t="str">
        <f aca="false">IF(A309="","",I309*IFERROR(INDEX(设定!$C$5:$C$14,MATCH(C309,设定!$A$5:$A$14,0)),0))</f>
        <v/>
      </c>
      <c r="M309" s="21" t="str">
        <f aca="false">IF(A309="","",IF(L309&gt;0,K309/L309,0))</f>
        <v/>
      </c>
      <c r="N309" s="21" t="str">
        <f aca="false">IF(OR(A309="",H309=""),"",IF(J309&gt;0,(H309-J309)/J309,0))</f>
        <v/>
      </c>
      <c r="O309" s="22" t="str">
        <f aca="false">IF(OR(A309="",H309=""),"",IF(H309&lt;J309,"⚠ 低于标示",""))</f>
        <v/>
      </c>
      <c r="P309" s="19" t="n">
        <f aca="false">IF(OR(A309="",H309=""),0,G309*(H309-J309))</f>
        <v>0</v>
      </c>
      <c r="Q309" s="19" t="n">
        <f aca="false">IF(OR(A309="",H309=""),0,G309*J309)</f>
        <v>0</v>
      </c>
      <c r="R309" s="19" t="n">
        <f aca="false">IF(OR(A309="",H309=""),0,IF(H309&lt;J309,1,0))</f>
        <v>0</v>
      </c>
    </row>
    <row r="310" customFormat="false" ht="15" hidden="false" customHeight="false" outlineLevel="0" collapsed="false">
      <c r="A310" s="16"/>
      <c r="B310" s="17"/>
      <c r="C310" s="18"/>
      <c r="D310" s="17"/>
      <c r="E310" s="17"/>
      <c r="F310" s="17"/>
      <c r="G310" s="17"/>
      <c r="H310" s="17"/>
      <c r="I310" s="19" t="str">
        <f aca="false">IF(A310="","",D310*(E310-F310))</f>
        <v/>
      </c>
      <c r="J310" s="19" t="str">
        <f aca="false">IF(A310="","",IFERROR(INDEX(设定!$B$5:$B$14,MATCH(C310,设定!$A$5:$A$14,0)),0))</f>
        <v/>
      </c>
      <c r="K310" s="20" t="str">
        <f aca="false">IF(A310="","",G310*J310/1000)</f>
        <v/>
      </c>
      <c r="L310" s="20" t="str">
        <f aca="false">IF(A310="","",I310*IFERROR(INDEX(设定!$C$5:$C$14,MATCH(C310,设定!$A$5:$A$14,0)),0))</f>
        <v/>
      </c>
      <c r="M310" s="21" t="str">
        <f aca="false">IF(A310="","",IF(L310&gt;0,K310/L310,0))</f>
        <v/>
      </c>
      <c r="N310" s="21" t="str">
        <f aca="false">IF(OR(A310="",H310=""),"",IF(J310&gt;0,(H310-J310)/J310,0))</f>
        <v/>
      </c>
      <c r="O310" s="22" t="str">
        <f aca="false">IF(OR(A310="",H310=""),"",IF(H310&lt;J310,"⚠ 低于标示",""))</f>
        <v/>
      </c>
      <c r="P310" s="19" t="n">
        <f aca="false">IF(OR(A310="",H310=""),0,G310*(H310-J310))</f>
        <v>0</v>
      </c>
      <c r="Q310" s="19" t="n">
        <f aca="false">IF(OR(A310="",H310=""),0,G310*J310)</f>
        <v>0</v>
      </c>
      <c r="R310" s="19" t="n">
        <f aca="false">IF(OR(A310="",H310=""),0,IF(H310&lt;J310,1,0))</f>
        <v>0</v>
      </c>
    </row>
    <row r="311" customFormat="false" ht="15" hidden="false" customHeight="false" outlineLevel="0" collapsed="false">
      <c r="A311" s="16"/>
      <c r="B311" s="17"/>
      <c r="C311" s="18"/>
      <c r="D311" s="17"/>
      <c r="E311" s="17"/>
      <c r="F311" s="17"/>
      <c r="G311" s="17"/>
      <c r="H311" s="17"/>
      <c r="I311" s="19" t="str">
        <f aca="false">IF(A311="","",D311*(E311-F311))</f>
        <v/>
      </c>
      <c r="J311" s="19" t="str">
        <f aca="false">IF(A311="","",IFERROR(INDEX(设定!$B$5:$B$14,MATCH(C311,设定!$A$5:$A$14,0)),0))</f>
        <v/>
      </c>
      <c r="K311" s="20" t="str">
        <f aca="false">IF(A311="","",G311*J311/1000)</f>
        <v/>
      </c>
      <c r="L311" s="20" t="str">
        <f aca="false">IF(A311="","",I311*IFERROR(INDEX(设定!$C$5:$C$14,MATCH(C311,设定!$A$5:$A$14,0)),0))</f>
        <v/>
      </c>
      <c r="M311" s="21" t="str">
        <f aca="false">IF(A311="","",IF(L311&gt;0,K311/L311,0))</f>
        <v/>
      </c>
      <c r="N311" s="21" t="str">
        <f aca="false">IF(OR(A311="",H311=""),"",IF(J311&gt;0,(H311-J311)/J311,0))</f>
        <v/>
      </c>
      <c r="O311" s="22" t="str">
        <f aca="false">IF(OR(A311="",H311=""),"",IF(H311&lt;J311,"⚠ 低于标示",""))</f>
        <v/>
      </c>
      <c r="P311" s="19" t="n">
        <f aca="false">IF(OR(A311="",H311=""),0,G311*(H311-J311))</f>
        <v>0</v>
      </c>
      <c r="Q311" s="19" t="n">
        <f aca="false">IF(OR(A311="",H311=""),0,G311*J311)</f>
        <v>0</v>
      </c>
      <c r="R311" s="19" t="n">
        <f aca="false">IF(OR(A311="",H311=""),0,IF(H311&lt;J311,1,0))</f>
        <v>0</v>
      </c>
    </row>
    <row r="312" customFormat="false" ht="15" hidden="false" customHeight="false" outlineLevel="0" collapsed="false">
      <c r="A312" s="16"/>
      <c r="B312" s="17"/>
      <c r="C312" s="18"/>
      <c r="D312" s="17"/>
      <c r="E312" s="17"/>
      <c r="F312" s="17"/>
      <c r="G312" s="17"/>
      <c r="H312" s="17"/>
      <c r="I312" s="19" t="str">
        <f aca="false">IF(A312="","",D312*(E312-F312))</f>
        <v/>
      </c>
      <c r="J312" s="19" t="str">
        <f aca="false">IF(A312="","",IFERROR(INDEX(设定!$B$5:$B$14,MATCH(C312,设定!$A$5:$A$14,0)),0))</f>
        <v/>
      </c>
      <c r="K312" s="20" t="str">
        <f aca="false">IF(A312="","",G312*J312/1000)</f>
        <v/>
      </c>
      <c r="L312" s="20" t="str">
        <f aca="false">IF(A312="","",I312*IFERROR(INDEX(设定!$C$5:$C$14,MATCH(C312,设定!$A$5:$A$14,0)),0))</f>
        <v/>
      </c>
      <c r="M312" s="21" t="str">
        <f aca="false">IF(A312="","",IF(L312&gt;0,K312/L312,0))</f>
        <v/>
      </c>
      <c r="N312" s="21" t="str">
        <f aca="false">IF(OR(A312="",H312=""),"",IF(J312&gt;0,(H312-J312)/J312,0))</f>
        <v/>
      </c>
      <c r="O312" s="22" t="str">
        <f aca="false">IF(OR(A312="",H312=""),"",IF(H312&lt;J312,"⚠ 低于标示",""))</f>
        <v/>
      </c>
      <c r="P312" s="19" t="n">
        <f aca="false">IF(OR(A312="",H312=""),0,G312*(H312-J312))</f>
        <v>0</v>
      </c>
      <c r="Q312" s="19" t="n">
        <f aca="false">IF(OR(A312="",H312=""),0,G312*J312)</f>
        <v>0</v>
      </c>
      <c r="R312" s="19" t="n">
        <f aca="false">IF(OR(A312="",H312=""),0,IF(H312&lt;J312,1,0))</f>
        <v>0</v>
      </c>
    </row>
    <row r="313" customFormat="false" ht="15" hidden="false" customHeight="false" outlineLevel="0" collapsed="false">
      <c r="A313" s="16"/>
      <c r="B313" s="17"/>
      <c r="C313" s="18"/>
      <c r="D313" s="17"/>
      <c r="E313" s="17"/>
      <c r="F313" s="17"/>
      <c r="G313" s="17"/>
      <c r="H313" s="17"/>
      <c r="I313" s="19" t="str">
        <f aca="false">IF(A313="","",D313*(E313-F313))</f>
        <v/>
      </c>
      <c r="J313" s="19" t="str">
        <f aca="false">IF(A313="","",IFERROR(INDEX(设定!$B$5:$B$14,MATCH(C313,设定!$A$5:$A$14,0)),0))</f>
        <v/>
      </c>
      <c r="K313" s="20" t="str">
        <f aca="false">IF(A313="","",G313*J313/1000)</f>
        <v/>
      </c>
      <c r="L313" s="20" t="str">
        <f aca="false">IF(A313="","",I313*IFERROR(INDEX(设定!$C$5:$C$14,MATCH(C313,设定!$A$5:$A$14,0)),0))</f>
        <v/>
      </c>
      <c r="M313" s="21" t="str">
        <f aca="false">IF(A313="","",IF(L313&gt;0,K313/L313,0))</f>
        <v/>
      </c>
      <c r="N313" s="21" t="str">
        <f aca="false">IF(OR(A313="",H313=""),"",IF(J313&gt;0,(H313-J313)/J313,0))</f>
        <v/>
      </c>
      <c r="O313" s="22" t="str">
        <f aca="false">IF(OR(A313="",H313=""),"",IF(H313&lt;J313,"⚠ 低于标示",""))</f>
        <v/>
      </c>
      <c r="P313" s="19" t="n">
        <f aca="false">IF(OR(A313="",H313=""),0,G313*(H313-J313))</f>
        <v>0</v>
      </c>
      <c r="Q313" s="19" t="n">
        <f aca="false">IF(OR(A313="",H313=""),0,G313*J313)</f>
        <v>0</v>
      </c>
      <c r="R313" s="19" t="n">
        <f aca="false">IF(OR(A313="",H313=""),0,IF(H313&lt;J313,1,0))</f>
        <v>0</v>
      </c>
    </row>
    <row r="314" customFormat="false" ht="15" hidden="false" customHeight="false" outlineLevel="0" collapsed="false">
      <c r="A314" s="16"/>
      <c r="B314" s="17"/>
      <c r="C314" s="18"/>
      <c r="D314" s="17"/>
      <c r="E314" s="17"/>
      <c r="F314" s="17"/>
      <c r="G314" s="17"/>
      <c r="H314" s="17"/>
      <c r="I314" s="19" t="str">
        <f aca="false">IF(A314="","",D314*(E314-F314))</f>
        <v/>
      </c>
      <c r="J314" s="19" t="str">
        <f aca="false">IF(A314="","",IFERROR(INDEX(设定!$B$5:$B$14,MATCH(C314,设定!$A$5:$A$14,0)),0))</f>
        <v/>
      </c>
      <c r="K314" s="20" t="str">
        <f aca="false">IF(A314="","",G314*J314/1000)</f>
        <v/>
      </c>
      <c r="L314" s="20" t="str">
        <f aca="false">IF(A314="","",I314*IFERROR(INDEX(设定!$C$5:$C$14,MATCH(C314,设定!$A$5:$A$14,0)),0))</f>
        <v/>
      </c>
      <c r="M314" s="21" t="str">
        <f aca="false">IF(A314="","",IF(L314&gt;0,K314/L314,0))</f>
        <v/>
      </c>
      <c r="N314" s="21" t="str">
        <f aca="false">IF(OR(A314="",H314=""),"",IF(J314&gt;0,(H314-J314)/J314,0))</f>
        <v/>
      </c>
      <c r="O314" s="22" t="str">
        <f aca="false">IF(OR(A314="",H314=""),"",IF(H314&lt;J314,"⚠ 低于标示",""))</f>
        <v/>
      </c>
      <c r="P314" s="19" t="n">
        <f aca="false">IF(OR(A314="",H314=""),0,G314*(H314-J314))</f>
        <v>0</v>
      </c>
      <c r="Q314" s="19" t="n">
        <f aca="false">IF(OR(A314="",H314=""),0,G314*J314)</f>
        <v>0</v>
      </c>
      <c r="R314" s="19" t="n">
        <f aca="false">IF(OR(A314="",H314=""),0,IF(H314&lt;J314,1,0))</f>
        <v>0</v>
      </c>
    </row>
    <row r="315" customFormat="false" ht="15" hidden="false" customHeight="false" outlineLevel="0" collapsed="false">
      <c r="A315" s="16"/>
      <c r="B315" s="17"/>
      <c r="C315" s="18"/>
      <c r="D315" s="17"/>
      <c r="E315" s="17"/>
      <c r="F315" s="17"/>
      <c r="G315" s="17"/>
      <c r="H315" s="17"/>
      <c r="I315" s="19" t="str">
        <f aca="false">IF(A315="","",D315*(E315-F315))</f>
        <v/>
      </c>
      <c r="J315" s="19" t="str">
        <f aca="false">IF(A315="","",IFERROR(INDEX(设定!$B$5:$B$14,MATCH(C315,设定!$A$5:$A$14,0)),0))</f>
        <v/>
      </c>
      <c r="K315" s="20" t="str">
        <f aca="false">IF(A315="","",G315*J315/1000)</f>
        <v/>
      </c>
      <c r="L315" s="20" t="str">
        <f aca="false">IF(A315="","",I315*IFERROR(INDEX(设定!$C$5:$C$14,MATCH(C315,设定!$A$5:$A$14,0)),0))</f>
        <v/>
      </c>
      <c r="M315" s="21" t="str">
        <f aca="false">IF(A315="","",IF(L315&gt;0,K315/L315,0))</f>
        <v/>
      </c>
      <c r="N315" s="21" t="str">
        <f aca="false">IF(OR(A315="",H315=""),"",IF(J315&gt;0,(H315-J315)/J315,0))</f>
        <v/>
      </c>
      <c r="O315" s="22" t="str">
        <f aca="false">IF(OR(A315="",H315=""),"",IF(H315&lt;J315,"⚠ 低于标示",""))</f>
        <v/>
      </c>
      <c r="P315" s="19" t="n">
        <f aca="false">IF(OR(A315="",H315=""),0,G315*(H315-J315))</f>
        <v>0</v>
      </c>
      <c r="Q315" s="19" t="n">
        <f aca="false">IF(OR(A315="",H315=""),0,G315*J315)</f>
        <v>0</v>
      </c>
      <c r="R315" s="19" t="n">
        <f aca="false">IF(OR(A315="",H315=""),0,IF(H315&lt;J315,1,0))</f>
        <v>0</v>
      </c>
    </row>
    <row r="316" customFormat="false" ht="15" hidden="false" customHeight="false" outlineLevel="0" collapsed="false">
      <c r="A316" s="16"/>
      <c r="B316" s="17"/>
      <c r="C316" s="18"/>
      <c r="D316" s="17"/>
      <c r="E316" s="17"/>
      <c r="F316" s="17"/>
      <c r="G316" s="17"/>
      <c r="H316" s="17"/>
      <c r="I316" s="19" t="str">
        <f aca="false">IF(A316="","",D316*(E316-F316))</f>
        <v/>
      </c>
      <c r="J316" s="19" t="str">
        <f aca="false">IF(A316="","",IFERROR(INDEX(设定!$B$5:$B$14,MATCH(C316,设定!$A$5:$A$14,0)),0))</f>
        <v/>
      </c>
      <c r="K316" s="20" t="str">
        <f aca="false">IF(A316="","",G316*J316/1000)</f>
        <v/>
      </c>
      <c r="L316" s="20" t="str">
        <f aca="false">IF(A316="","",I316*IFERROR(INDEX(设定!$C$5:$C$14,MATCH(C316,设定!$A$5:$A$14,0)),0))</f>
        <v/>
      </c>
      <c r="M316" s="21" t="str">
        <f aca="false">IF(A316="","",IF(L316&gt;0,K316/L316,0))</f>
        <v/>
      </c>
      <c r="N316" s="21" t="str">
        <f aca="false">IF(OR(A316="",H316=""),"",IF(J316&gt;0,(H316-J316)/J316,0))</f>
        <v/>
      </c>
      <c r="O316" s="22" t="str">
        <f aca="false">IF(OR(A316="",H316=""),"",IF(H316&lt;J316,"⚠ 低于标示",""))</f>
        <v/>
      </c>
      <c r="P316" s="19" t="n">
        <f aca="false">IF(OR(A316="",H316=""),0,G316*(H316-J316))</f>
        <v>0</v>
      </c>
      <c r="Q316" s="19" t="n">
        <f aca="false">IF(OR(A316="",H316=""),0,G316*J316)</f>
        <v>0</v>
      </c>
      <c r="R316" s="19" t="n">
        <f aca="false">IF(OR(A316="",H316=""),0,IF(H316&lt;J316,1,0))</f>
        <v>0</v>
      </c>
    </row>
    <row r="317" customFormat="false" ht="15" hidden="false" customHeight="false" outlineLevel="0" collapsed="false">
      <c r="A317" s="16"/>
      <c r="B317" s="17"/>
      <c r="C317" s="18"/>
      <c r="D317" s="17"/>
      <c r="E317" s="17"/>
      <c r="F317" s="17"/>
      <c r="G317" s="17"/>
      <c r="H317" s="17"/>
      <c r="I317" s="19" t="str">
        <f aca="false">IF(A317="","",D317*(E317-F317))</f>
        <v/>
      </c>
      <c r="J317" s="19" t="str">
        <f aca="false">IF(A317="","",IFERROR(INDEX(设定!$B$5:$B$14,MATCH(C317,设定!$A$5:$A$14,0)),0))</f>
        <v/>
      </c>
      <c r="K317" s="20" t="str">
        <f aca="false">IF(A317="","",G317*J317/1000)</f>
        <v/>
      </c>
      <c r="L317" s="20" t="str">
        <f aca="false">IF(A317="","",I317*IFERROR(INDEX(设定!$C$5:$C$14,MATCH(C317,设定!$A$5:$A$14,0)),0))</f>
        <v/>
      </c>
      <c r="M317" s="21" t="str">
        <f aca="false">IF(A317="","",IF(L317&gt;0,K317/L317,0))</f>
        <v/>
      </c>
      <c r="N317" s="21" t="str">
        <f aca="false">IF(OR(A317="",H317=""),"",IF(J317&gt;0,(H317-J317)/J317,0))</f>
        <v/>
      </c>
      <c r="O317" s="22" t="str">
        <f aca="false">IF(OR(A317="",H317=""),"",IF(H317&lt;J317,"⚠ 低于标示",""))</f>
        <v/>
      </c>
      <c r="P317" s="19" t="n">
        <f aca="false">IF(OR(A317="",H317=""),0,G317*(H317-J317))</f>
        <v>0</v>
      </c>
      <c r="Q317" s="19" t="n">
        <f aca="false">IF(OR(A317="",H317=""),0,G317*J317)</f>
        <v>0</v>
      </c>
      <c r="R317" s="19" t="n">
        <f aca="false">IF(OR(A317="",H317=""),0,IF(H317&lt;J317,1,0))</f>
        <v>0</v>
      </c>
    </row>
    <row r="318" customFormat="false" ht="15" hidden="false" customHeight="false" outlineLevel="0" collapsed="false">
      <c r="A318" s="16"/>
      <c r="B318" s="17"/>
      <c r="C318" s="18"/>
      <c r="D318" s="17"/>
      <c r="E318" s="17"/>
      <c r="F318" s="17"/>
      <c r="G318" s="17"/>
      <c r="H318" s="17"/>
      <c r="I318" s="19" t="str">
        <f aca="false">IF(A318="","",D318*(E318-F318))</f>
        <v/>
      </c>
      <c r="J318" s="19" t="str">
        <f aca="false">IF(A318="","",IFERROR(INDEX(设定!$B$5:$B$14,MATCH(C318,设定!$A$5:$A$14,0)),0))</f>
        <v/>
      </c>
      <c r="K318" s="20" t="str">
        <f aca="false">IF(A318="","",G318*J318/1000)</f>
        <v/>
      </c>
      <c r="L318" s="20" t="str">
        <f aca="false">IF(A318="","",I318*IFERROR(INDEX(设定!$C$5:$C$14,MATCH(C318,设定!$A$5:$A$14,0)),0))</f>
        <v/>
      </c>
      <c r="M318" s="21" t="str">
        <f aca="false">IF(A318="","",IF(L318&gt;0,K318/L318,0))</f>
        <v/>
      </c>
      <c r="N318" s="21" t="str">
        <f aca="false">IF(OR(A318="",H318=""),"",IF(J318&gt;0,(H318-J318)/J318,0))</f>
        <v/>
      </c>
      <c r="O318" s="22" t="str">
        <f aca="false">IF(OR(A318="",H318=""),"",IF(H318&lt;J318,"⚠ 低于标示",""))</f>
        <v/>
      </c>
      <c r="P318" s="19" t="n">
        <f aca="false">IF(OR(A318="",H318=""),0,G318*(H318-J318))</f>
        <v>0</v>
      </c>
      <c r="Q318" s="19" t="n">
        <f aca="false">IF(OR(A318="",H318=""),0,G318*J318)</f>
        <v>0</v>
      </c>
      <c r="R318" s="19" t="n">
        <f aca="false">IF(OR(A318="",H318=""),0,IF(H318&lt;J318,1,0))</f>
        <v>0</v>
      </c>
    </row>
    <row r="319" customFormat="false" ht="15" hidden="false" customHeight="false" outlineLevel="0" collapsed="false">
      <c r="A319" s="16"/>
      <c r="B319" s="17"/>
      <c r="C319" s="18"/>
      <c r="D319" s="17"/>
      <c r="E319" s="17"/>
      <c r="F319" s="17"/>
      <c r="G319" s="17"/>
      <c r="H319" s="17"/>
      <c r="I319" s="19" t="str">
        <f aca="false">IF(A319="","",D319*(E319-F319))</f>
        <v/>
      </c>
      <c r="J319" s="19" t="str">
        <f aca="false">IF(A319="","",IFERROR(INDEX(设定!$B$5:$B$14,MATCH(C319,设定!$A$5:$A$14,0)),0))</f>
        <v/>
      </c>
      <c r="K319" s="20" t="str">
        <f aca="false">IF(A319="","",G319*J319/1000)</f>
        <v/>
      </c>
      <c r="L319" s="20" t="str">
        <f aca="false">IF(A319="","",I319*IFERROR(INDEX(设定!$C$5:$C$14,MATCH(C319,设定!$A$5:$A$14,0)),0))</f>
        <v/>
      </c>
      <c r="M319" s="21" t="str">
        <f aca="false">IF(A319="","",IF(L319&gt;0,K319/L319,0))</f>
        <v/>
      </c>
      <c r="N319" s="21" t="str">
        <f aca="false">IF(OR(A319="",H319=""),"",IF(J319&gt;0,(H319-J319)/J319,0))</f>
        <v/>
      </c>
      <c r="O319" s="22" t="str">
        <f aca="false">IF(OR(A319="",H319=""),"",IF(H319&lt;J319,"⚠ 低于标示",""))</f>
        <v/>
      </c>
      <c r="P319" s="19" t="n">
        <f aca="false">IF(OR(A319="",H319=""),0,G319*(H319-J319))</f>
        <v>0</v>
      </c>
      <c r="Q319" s="19" t="n">
        <f aca="false">IF(OR(A319="",H319=""),0,G319*J319)</f>
        <v>0</v>
      </c>
      <c r="R319" s="19" t="n">
        <f aca="false">IF(OR(A319="",H319=""),0,IF(H319&lt;J319,1,0))</f>
        <v>0</v>
      </c>
    </row>
    <row r="320" customFormat="false" ht="15" hidden="false" customHeight="false" outlineLevel="0" collapsed="false">
      <c r="A320" s="16"/>
      <c r="B320" s="17"/>
      <c r="C320" s="18"/>
      <c r="D320" s="17"/>
      <c r="E320" s="17"/>
      <c r="F320" s="17"/>
      <c r="G320" s="17"/>
      <c r="H320" s="17"/>
      <c r="I320" s="19" t="str">
        <f aca="false">IF(A320="","",D320*(E320-F320))</f>
        <v/>
      </c>
      <c r="J320" s="19" t="str">
        <f aca="false">IF(A320="","",IFERROR(INDEX(设定!$B$5:$B$14,MATCH(C320,设定!$A$5:$A$14,0)),0))</f>
        <v/>
      </c>
      <c r="K320" s="20" t="str">
        <f aca="false">IF(A320="","",G320*J320/1000)</f>
        <v/>
      </c>
      <c r="L320" s="20" t="str">
        <f aca="false">IF(A320="","",I320*IFERROR(INDEX(设定!$C$5:$C$14,MATCH(C320,设定!$A$5:$A$14,0)),0))</f>
        <v/>
      </c>
      <c r="M320" s="21" t="str">
        <f aca="false">IF(A320="","",IF(L320&gt;0,K320/L320,0))</f>
        <v/>
      </c>
      <c r="N320" s="21" t="str">
        <f aca="false">IF(OR(A320="",H320=""),"",IF(J320&gt;0,(H320-J320)/J320,0))</f>
        <v/>
      </c>
      <c r="O320" s="22" t="str">
        <f aca="false">IF(OR(A320="",H320=""),"",IF(H320&lt;J320,"⚠ 低于标示",""))</f>
        <v/>
      </c>
      <c r="P320" s="19" t="n">
        <f aca="false">IF(OR(A320="",H320=""),0,G320*(H320-J320))</f>
        <v>0</v>
      </c>
      <c r="Q320" s="19" t="n">
        <f aca="false">IF(OR(A320="",H320=""),0,G320*J320)</f>
        <v>0</v>
      </c>
      <c r="R320" s="19" t="n">
        <f aca="false">IF(OR(A320="",H320=""),0,IF(H320&lt;J320,1,0))</f>
        <v>0</v>
      </c>
    </row>
    <row r="321" customFormat="false" ht="15" hidden="false" customHeight="false" outlineLevel="0" collapsed="false">
      <c r="A321" s="16"/>
      <c r="B321" s="17"/>
      <c r="C321" s="18"/>
      <c r="D321" s="17"/>
      <c r="E321" s="17"/>
      <c r="F321" s="17"/>
      <c r="G321" s="17"/>
      <c r="H321" s="17"/>
      <c r="I321" s="19" t="str">
        <f aca="false">IF(A321="","",D321*(E321-F321))</f>
        <v/>
      </c>
      <c r="J321" s="19" t="str">
        <f aca="false">IF(A321="","",IFERROR(INDEX(设定!$B$5:$B$14,MATCH(C321,设定!$A$5:$A$14,0)),0))</f>
        <v/>
      </c>
      <c r="K321" s="20" t="str">
        <f aca="false">IF(A321="","",G321*J321/1000)</f>
        <v/>
      </c>
      <c r="L321" s="20" t="str">
        <f aca="false">IF(A321="","",I321*IFERROR(INDEX(设定!$C$5:$C$14,MATCH(C321,设定!$A$5:$A$14,0)),0))</f>
        <v/>
      </c>
      <c r="M321" s="21" t="str">
        <f aca="false">IF(A321="","",IF(L321&gt;0,K321/L321,0))</f>
        <v/>
      </c>
      <c r="N321" s="21" t="str">
        <f aca="false">IF(OR(A321="",H321=""),"",IF(J321&gt;0,(H321-J321)/J321,0))</f>
        <v/>
      </c>
      <c r="O321" s="22" t="str">
        <f aca="false">IF(OR(A321="",H321=""),"",IF(H321&lt;J321,"⚠ 低于标示",""))</f>
        <v/>
      </c>
      <c r="P321" s="19" t="n">
        <f aca="false">IF(OR(A321="",H321=""),0,G321*(H321-J321))</f>
        <v>0</v>
      </c>
      <c r="Q321" s="19" t="n">
        <f aca="false">IF(OR(A321="",H321=""),0,G321*J321)</f>
        <v>0</v>
      </c>
      <c r="R321" s="19" t="n">
        <f aca="false">IF(OR(A321="",H321=""),0,IF(H321&lt;J321,1,0))</f>
        <v>0</v>
      </c>
    </row>
    <row r="322" customFormat="false" ht="15" hidden="false" customHeight="false" outlineLevel="0" collapsed="false">
      <c r="A322" s="16"/>
      <c r="B322" s="17"/>
      <c r="C322" s="18"/>
      <c r="D322" s="17"/>
      <c r="E322" s="17"/>
      <c r="F322" s="17"/>
      <c r="G322" s="17"/>
      <c r="H322" s="17"/>
      <c r="I322" s="19" t="str">
        <f aca="false">IF(A322="","",D322*(E322-F322))</f>
        <v/>
      </c>
      <c r="J322" s="19" t="str">
        <f aca="false">IF(A322="","",IFERROR(INDEX(设定!$B$5:$B$14,MATCH(C322,设定!$A$5:$A$14,0)),0))</f>
        <v/>
      </c>
      <c r="K322" s="20" t="str">
        <f aca="false">IF(A322="","",G322*J322/1000)</f>
        <v/>
      </c>
      <c r="L322" s="20" t="str">
        <f aca="false">IF(A322="","",I322*IFERROR(INDEX(设定!$C$5:$C$14,MATCH(C322,设定!$A$5:$A$14,0)),0))</f>
        <v/>
      </c>
      <c r="M322" s="21" t="str">
        <f aca="false">IF(A322="","",IF(L322&gt;0,K322/L322,0))</f>
        <v/>
      </c>
      <c r="N322" s="21" t="str">
        <f aca="false">IF(OR(A322="",H322=""),"",IF(J322&gt;0,(H322-J322)/J322,0))</f>
        <v/>
      </c>
      <c r="O322" s="22" t="str">
        <f aca="false">IF(OR(A322="",H322=""),"",IF(H322&lt;J322,"⚠ 低于标示",""))</f>
        <v/>
      </c>
      <c r="P322" s="19" t="n">
        <f aca="false">IF(OR(A322="",H322=""),0,G322*(H322-J322))</f>
        <v>0</v>
      </c>
      <c r="Q322" s="19" t="n">
        <f aca="false">IF(OR(A322="",H322=""),0,G322*J322)</f>
        <v>0</v>
      </c>
      <c r="R322" s="19" t="n">
        <f aca="false">IF(OR(A322="",H322=""),0,IF(H322&lt;J322,1,0))</f>
        <v>0</v>
      </c>
    </row>
    <row r="323" customFormat="false" ht="15" hidden="false" customHeight="false" outlineLevel="0" collapsed="false">
      <c r="A323" s="16"/>
      <c r="B323" s="17"/>
      <c r="C323" s="18"/>
      <c r="D323" s="17"/>
      <c r="E323" s="17"/>
      <c r="F323" s="17"/>
      <c r="G323" s="17"/>
      <c r="H323" s="17"/>
      <c r="I323" s="19" t="str">
        <f aca="false">IF(A323="","",D323*(E323-F323))</f>
        <v/>
      </c>
      <c r="J323" s="19" t="str">
        <f aca="false">IF(A323="","",IFERROR(INDEX(设定!$B$5:$B$14,MATCH(C323,设定!$A$5:$A$14,0)),0))</f>
        <v/>
      </c>
      <c r="K323" s="20" t="str">
        <f aca="false">IF(A323="","",G323*J323/1000)</f>
        <v/>
      </c>
      <c r="L323" s="20" t="str">
        <f aca="false">IF(A323="","",I323*IFERROR(INDEX(设定!$C$5:$C$14,MATCH(C323,设定!$A$5:$A$14,0)),0))</f>
        <v/>
      </c>
      <c r="M323" s="21" t="str">
        <f aca="false">IF(A323="","",IF(L323&gt;0,K323/L323,0))</f>
        <v/>
      </c>
      <c r="N323" s="21" t="str">
        <f aca="false">IF(OR(A323="",H323=""),"",IF(J323&gt;0,(H323-J323)/J323,0))</f>
        <v/>
      </c>
      <c r="O323" s="22" t="str">
        <f aca="false">IF(OR(A323="",H323=""),"",IF(H323&lt;J323,"⚠ 低于标示",""))</f>
        <v/>
      </c>
      <c r="P323" s="19" t="n">
        <f aca="false">IF(OR(A323="",H323=""),0,G323*(H323-J323))</f>
        <v>0</v>
      </c>
      <c r="Q323" s="19" t="n">
        <f aca="false">IF(OR(A323="",H323=""),0,G323*J323)</f>
        <v>0</v>
      </c>
      <c r="R323" s="19" t="n">
        <f aca="false">IF(OR(A323="",H323=""),0,IF(H323&lt;J323,1,0))</f>
        <v>0</v>
      </c>
    </row>
    <row r="324" customFormat="false" ht="15" hidden="false" customHeight="false" outlineLevel="0" collapsed="false">
      <c r="A324" s="16"/>
      <c r="B324" s="17"/>
      <c r="C324" s="18"/>
      <c r="D324" s="17"/>
      <c r="E324" s="17"/>
      <c r="F324" s="17"/>
      <c r="G324" s="17"/>
      <c r="H324" s="17"/>
      <c r="I324" s="19" t="str">
        <f aca="false">IF(A324="","",D324*(E324-F324))</f>
        <v/>
      </c>
      <c r="J324" s="19" t="str">
        <f aca="false">IF(A324="","",IFERROR(INDEX(设定!$B$5:$B$14,MATCH(C324,设定!$A$5:$A$14,0)),0))</f>
        <v/>
      </c>
      <c r="K324" s="20" t="str">
        <f aca="false">IF(A324="","",G324*J324/1000)</f>
        <v/>
      </c>
      <c r="L324" s="20" t="str">
        <f aca="false">IF(A324="","",I324*IFERROR(INDEX(设定!$C$5:$C$14,MATCH(C324,设定!$A$5:$A$14,0)),0))</f>
        <v/>
      </c>
      <c r="M324" s="21" t="str">
        <f aca="false">IF(A324="","",IF(L324&gt;0,K324/L324,0))</f>
        <v/>
      </c>
      <c r="N324" s="21" t="str">
        <f aca="false">IF(OR(A324="",H324=""),"",IF(J324&gt;0,(H324-J324)/J324,0))</f>
        <v/>
      </c>
      <c r="O324" s="22" t="str">
        <f aca="false">IF(OR(A324="",H324=""),"",IF(H324&lt;J324,"⚠ 低于标示",""))</f>
        <v/>
      </c>
      <c r="P324" s="19" t="n">
        <f aca="false">IF(OR(A324="",H324=""),0,G324*(H324-J324))</f>
        <v>0</v>
      </c>
      <c r="Q324" s="19" t="n">
        <f aca="false">IF(OR(A324="",H324=""),0,G324*J324)</f>
        <v>0</v>
      </c>
      <c r="R324" s="19" t="n">
        <f aca="false">IF(OR(A324="",H324=""),0,IF(H324&lt;J324,1,0))</f>
        <v>0</v>
      </c>
    </row>
    <row r="325" customFormat="false" ht="15" hidden="false" customHeight="false" outlineLevel="0" collapsed="false">
      <c r="A325" s="16"/>
      <c r="B325" s="17"/>
      <c r="C325" s="18"/>
      <c r="D325" s="17"/>
      <c r="E325" s="17"/>
      <c r="F325" s="17"/>
      <c r="G325" s="17"/>
      <c r="H325" s="17"/>
      <c r="I325" s="19" t="str">
        <f aca="false">IF(A325="","",D325*(E325-F325))</f>
        <v/>
      </c>
      <c r="J325" s="19" t="str">
        <f aca="false">IF(A325="","",IFERROR(INDEX(设定!$B$5:$B$14,MATCH(C325,设定!$A$5:$A$14,0)),0))</f>
        <v/>
      </c>
      <c r="K325" s="20" t="str">
        <f aca="false">IF(A325="","",G325*J325/1000)</f>
        <v/>
      </c>
      <c r="L325" s="20" t="str">
        <f aca="false">IF(A325="","",I325*IFERROR(INDEX(设定!$C$5:$C$14,MATCH(C325,设定!$A$5:$A$14,0)),0))</f>
        <v/>
      </c>
      <c r="M325" s="21" t="str">
        <f aca="false">IF(A325="","",IF(L325&gt;0,K325/L325,0))</f>
        <v/>
      </c>
      <c r="N325" s="21" t="str">
        <f aca="false">IF(OR(A325="",H325=""),"",IF(J325&gt;0,(H325-J325)/J325,0))</f>
        <v/>
      </c>
      <c r="O325" s="22" t="str">
        <f aca="false">IF(OR(A325="",H325=""),"",IF(H325&lt;J325,"⚠ 低于标示",""))</f>
        <v/>
      </c>
      <c r="P325" s="19" t="n">
        <f aca="false">IF(OR(A325="",H325=""),0,G325*(H325-J325))</f>
        <v>0</v>
      </c>
      <c r="Q325" s="19" t="n">
        <f aca="false">IF(OR(A325="",H325=""),0,G325*J325)</f>
        <v>0</v>
      </c>
      <c r="R325" s="19" t="n">
        <f aca="false">IF(OR(A325="",H325=""),0,IF(H325&lt;J325,1,0))</f>
        <v>0</v>
      </c>
    </row>
    <row r="326" customFormat="false" ht="15" hidden="false" customHeight="false" outlineLevel="0" collapsed="false">
      <c r="A326" s="16"/>
      <c r="B326" s="17"/>
      <c r="C326" s="18"/>
      <c r="D326" s="17"/>
      <c r="E326" s="17"/>
      <c r="F326" s="17"/>
      <c r="G326" s="17"/>
      <c r="H326" s="17"/>
      <c r="I326" s="19" t="str">
        <f aca="false">IF(A326="","",D326*(E326-F326))</f>
        <v/>
      </c>
      <c r="J326" s="19" t="str">
        <f aca="false">IF(A326="","",IFERROR(INDEX(设定!$B$5:$B$14,MATCH(C326,设定!$A$5:$A$14,0)),0))</f>
        <v/>
      </c>
      <c r="K326" s="20" t="str">
        <f aca="false">IF(A326="","",G326*J326/1000)</f>
        <v/>
      </c>
      <c r="L326" s="20" t="str">
        <f aca="false">IF(A326="","",I326*IFERROR(INDEX(设定!$C$5:$C$14,MATCH(C326,设定!$A$5:$A$14,0)),0))</f>
        <v/>
      </c>
      <c r="M326" s="21" t="str">
        <f aca="false">IF(A326="","",IF(L326&gt;0,K326/L326,0))</f>
        <v/>
      </c>
      <c r="N326" s="21" t="str">
        <f aca="false">IF(OR(A326="",H326=""),"",IF(J326&gt;0,(H326-J326)/J326,0))</f>
        <v/>
      </c>
      <c r="O326" s="22" t="str">
        <f aca="false">IF(OR(A326="",H326=""),"",IF(H326&lt;J326,"⚠ 低于标示",""))</f>
        <v/>
      </c>
      <c r="P326" s="19" t="n">
        <f aca="false">IF(OR(A326="",H326=""),0,G326*(H326-J326))</f>
        <v>0</v>
      </c>
      <c r="Q326" s="19" t="n">
        <f aca="false">IF(OR(A326="",H326=""),0,G326*J326)</f>
        <v>0</v>
      </c>
      <c r="R326" s="19" t="n">
        <f aca="false">IF(OR(A326="",H326=""),0,IF(H326&lt;J326,1,0))</f>
        <v>0</v>
      </c>
    </row>
    <row r="327" customFormat="false" ht="15" hidden="false" customHeight="false" outlineLevel="0" collapsed="false">
      <c r="A327" s="16"/>
      <c r="B327" s="17"/>
      <c r="C327" s="18"/>
      <c r="D327" s="17"/>
      <c r="E327" s="17"/>
      <c r="F327" s="17"/>
      <c r="G327" s="17"/>
      <c r="H327" s="17"/>
      <c r="I327" s="19" t="str">
        <f aca="false">IF(A327="","",D327*(E327-F327))</f>
        <v/>
      </c>
      <c r="J327" s="19" t="str">
        <f aca="false">IF(A327="","",IFERROR(INDEX(设定!$B$5:$B$14,MATCH(C327,设定!$A$5:$A$14,0)),0))</f>
        <v/>
      </c>
      <c r="K327" s="20" t="str">
        <f aca="false">IF(A327="","",G327*J327/1000)</f>
        <v/>
      </c>
      <c r="L327" s="20" t="str">
        <f aca="false">IF(A327="","",I327*IFERROR(INDEX(设定!$C$5:$C$14,MATCH(C327,设定!$A$5:$A$14,0)),0))</f>
        <v/>
      </c>
      <c r="M327" s="21" t="str">
        <f aca="false">IF(A327="","",IF(L327&gt;0,K327/L327,0))</f>
        <v/>
      </c>
      <c r="N327" s="21" t="str">
        <f aca="false">IF(OR(A327="",H327=""),"",IF(J327&gt;0,(H327-J327)/J327,0))</f>
        <v/>
      </c>
      <c r="O327" s="22" t="str">
        <f aca="false">IF(OR(A327="",H327=""),"",IF(H327&lt;J327,"⚠ 低于标示",""))</f>
        <v/>
      </c>
      <c r="P327" s="19" t="n">
        <f aca="false">IF(OR(A327="",H327=""),0,G327*(H327-J327))</f>
        <v>0</v>
      </c>
      <c r="Q327" s="19" t="n">
        <f aca="false">IF(OR(A327="",H327=""),0,G327*J327)</f>
        <v>0</v>
      </c>
      <c r="R327" s="19" t="n">
        <f aca="false">IF(OR(A327="",H327=""),0,IF(H327&lt;J327,1,0))</f>
        <v>0</v>
      </c>
    </row>
    <row r="328" customFormat="false" ht="15" hidden="false" customHeight="false" outlineLevel="0" collapsed="false">
      <c r="A328" s="16"/>
      <c r="B328" s="17"/>
      <c r="C328" s="18"/>
      <c r="D328" s="17"/>
      <c r="E328" s="17"/>
      <c r="F328" s="17"/>
      <c r="G328" s="17"/>
      <c r="H328" s="17"/>
      <c r="I328" s="19" t="str">
        <f aca="false">IF(A328="","",D328*(E328-F328))</f>
        <v/>
      </c>
      <c r="J328" s="19" t="str">
        <f aca="false">IF(A328="","",IFERROR(INDEX(设定!$B$5:$B$14,MATCH(C328,设定!$A$5:$A$14,0)),0))</f>
        <v/>
      </c>
      <c r="K328" s="20" t="str">
        <f aca="false">IF(A328="","",G328*J328/1000)</f>
        <v/>
      </c>
      <c r="L328" s="20" t="str">
        <f aca="false">IF(A328="","",I328*IFERROR(INDEX(设定!$C$5:$C$14,MATCH(C328,设定!$A$5:$A$14,0)),0))</f>
        <v/>
      </c>
      <c r="M328" s="21" t="str">
        <f aca="false">IF(A328="","",IF(L328&gt;0,K328/L328,0))</f>
        <v/>
      </c>
      <c r="N328" s="21" t="str">
        <f aca="false">IF(OR(A328="",H328=""),"",IF(J328&gt;0,(H328-J328)/J328,0))</f>
        <v/>
      </c>
      <c r="O328" s="22" t="str">
        <f aca="false">IF(OR(A328="",H328=""),"",IF(H328&lt;J328,"⚠ 低于标示",""))</f>
        <v/>
      </c>
      <c r="P328" s="19" t="n">
        <f aca="false">IF(OR(A328="",H328=""),0,G328*(H328-J328))</f>
        <v>0</v>
      </c>
      <c r="Q328" s="19" t="n">
        <f aca="false">IF(OR(A328="",H328=""),0,G328*J328)</f>
        <v>0</v>
      </c>
      <c r="R328" s="19" t="n">
        <f aca="false">IF(OR(A328="",H328=""),0,IF(H328&lt;J328,1,0))</f>
        <v>0</v>
      </c>
    </row>
    <row r="329" customFormat="false" ht="15" hidden="false" customHeight="false" outlineLevel="0" collapsed="false">
      <c r="A329" s="16"/>
      <c r="B329" s="17"/>
      <c r="C329" s="18"/>
      <c r="D329" s="17"/>
      <c r="E329" s="17"/>
      <c r="F329" s="17"/>
      <c r="G329" s="17"/>
      <c r="H329" s="17"/>
      <c r="I329" s="19" t="str">
        <f aca="false">IF(A329="","",D329*(E329-F329))</f>
        <v/>
      </c>
      <c r="J329" s="19" t="str">
        <f aca="false">IF(A329="","",IFERROR(INDEX(设定!$B$5:$B$14,MATCH(C329,设定!$A$5:$A$14,0)),0))</f>
        <v/>
      </c>
      <c r="K329" s="20" t="str">
        <f aca="false">IF(A329="","",G329*J329/1000)</f>
        <v/>
      </c>
      <c r="L329" s="20" t="str">
        <f aca="false">IF(A329="","",I329*IFERROR(INDEX(设定!$C$5:$C$14,MATCH(C329,设定!$A$5:$A$14,0)),0))</f>
        <v/>
      </c>
      <c r="M329" s="21" t="str">
        <f aca="false">IF(A329="","",IF(L329&gt;0,K329/L329,0))</f>
        <v/>
      </c>
      <c r="N329" s="21" t="str">
        <f aca="false">IF(OR(A329="",H329=""),"",IF(J329&gt;0,(H329-J329)/J329,0))</f>
        <v/>
      </c>
      <c r="O329" s="22" t="str">
        <f aca="false">IF(OR(A329="",H329=""),"",IF(H329&lt;J329,"⚠ 低于标示",""))</f>
        <v/>
      </c>
      <c r="P329" s="19" t="n">
        <f aca="false">IF(OR(A329="",H329=""),0,G329*(H329-J329))</f>
        <v>0</v>
      </c>
      <c r="Q329" s="19" t="n">
        <f aca="false">IF(OR(A329="",H329=""),0,G329*J329)</f>
        <v>0</v>
      </c>
      <c r="R329" s="19" t="n">
        <f aca="false">IF(OR(A329="",H329=""),0,IF(H329&lt;J329,1,0))</f>
        <v>0</v>
      </c>
    </row>
    <row r="330" customFormat="false" ht="15" hidden="false" customHeight="false" outlineLevel="0" collapsed="false">
      <c r="A330" s="16"/>
      <c r="B330" s="17"/>
      <c r="C330" s="18"/>
      <c r="D330" s="17"/>
      <c r="E330" s="17"/>
      <c r="F330" s="17"/>
      <c r="G330" s="17"/>
      <c r="H330" s="17"/>
      <c r="I330" s="19" t="str">
        <f aca="false">IF(A330="","",D330*(E330-F330))</f>
        <v/>
      </c>
      <c r="J330" s="19" t="str">
        <f aca="false">IF(A330="","",IFERROR(INDEX(设定!$B$5:$B$14,MATCH(C330,设定!$A$5:$A$14,0)),0))</f>
        <v/>
      </c>
      <c r="K330" s="20" t="str">
        <f aca="false">IF(A330="","",G330*J330/1000)</f>
        <v/>
      </c>
      <c r="L330" s="20" t="str">
        <f aca="false">IF(A330="","",I330*IFERROR(INDEX(设定!$C$5:$C$14,MATCH(C330,设定!$A$5:$A$14,0)),0))</f>
        <v/>
      </c>
      <c r="M330" s="21" t="str">
        <f aca="false">IF(A330="","",IF(L330&gt;0,K330/L330,0))</f>
        <v/>
      </c>
      <c r="N330" s="21" t="str">
        <f aca="false">IF(OR(A330="",H330=""),"",IF(J330&gt;0,(H330-J330)/J330,0))</f>
        <v/>
      </c>
      <c r="O330" s="22" t="str">
        <f aca="false">IF(OR(A330="",H330=""),"",IF(H330&lt;J330,"⚠ 低于标示",""))</f>
        <v/>
      </c>
      <c r="P330" s="19" t="n">
        <f aca="false">IF(OR(A330="",H330=""),0,G330*(H330-J330))</f>
        <v>0</v>
      </c>
      <c r="Q330" s="19" t="n">
        <f aca="false">IF(OR(A330="",H330=""),0,G330*J330)</f>
        <v>0</v>
      </c>
      <c r="R330" s="19" t="n">
        <f aca="false">IF(OR(A330="",H330=""),0,IF(H330&lt;J330,1,0))</f>
        <v>0</v>
      </c>
    </row>
    <row r="331" customFormat="false" ht="15" hidden="false" customHeight="false" outlineLevel="0" collapsed="false">
      <c r="A331" s="16"/>
      <c r="B331" s="17"/>
      <c r="C331" s="18"/>
      <c r="D331" s="17"/>
      <c r="E331" s="17"/>
      <c r="F331" s="17"/>
      <c r="G331" s="17"/>
      <c r="H331" s="17"/>
      <c r="I331" s="19" t="str">
        <f aca="false">IF(A331="","",D331*(E331-F331))</f>
        <v/>
      </c>
      <c r="J331" s="19" t="str">
        <f aca="false">IF(A331="","",IFERROR(INDEX(设定!$B$5:$B$14,MATCH(C331,设定!$A$5:$A$14,0)),0))</f>
        <v/>
      </c>
      <c r="K331" s="20" t="str">
        <f aca="false">IF(A331="","",G331*J331/1000)</f>
        <v/>
      </c>
      <c r="L331" s="20" t="str">
        <f aca="false">IF(A331="","",I331*IFERROR(INDEX(设定!$C$5:$C$14,MATCH(C331,设定!$A$5:$A$14,0)),0))</f>
        <v/>
      </c>
      <c r="M331" s="21" t="str">
        <f aca="false">IF(A331="","",IF(L331&gt;0,K331/L331,0))</f>
        <v/>
      </c>
      <c r="N331" s="21" t="str">
        <f aca="false">IF(OR(A331="",H331=""),"",IF(J331&gt;0,(H331-J331)/J331,0))</f>
        <v/>
      </c>
      <c r="O331" s="22" t="str">
        <f aca="false">IF(OR(A331="",H331=""),"",IF(H331&lt;J331,"⚠ 低于标示",""))</f>
        <v/>
      </c>
      <c r="P331" s="19" t="n">
        <f aca="false">IF(OR(A331="",H331=""),0,G331*(H331-J331))</f>
        <v>0</v>
      </c>
      <c r="Q331" s="19" t="n">
        <f aca="false">IF(OR(A331="",H331=""),0,G331*J331)</f>
        <v>0</v>
      </c>
      <c r="R331" s="19" t="n">
        <f aca="false">IF(OR(A331="",H331=""),0,IF(H331&lt;J331,1,0))</f>
        <v>0</v>
      </c>
    </row>
    <row r="332" customFormat="false" ht="15" hidden="false" customHeight="false" outlineLevel="0" collapsed="false">
      <c r="A332" s="16"/>
      <c r="B332" s="17"/>
      <c r="C332" s="18"/>
      <c r="D332" s="17"/>
      <c r="E332" s="17"/>
      <c r="F332" s="17"/>
      <c r="G332" s="17"/>
      <c r="H332" s="17"/>
      <c r="I332" s="19" t="str">
        <f aca="false">IF(A332="","",D332*(E332-F332))</f>
        <v/>
      </c>
      <c r="J332" s="19" t="str">
        <f aca="false">IF(A332="","",IFERROR(INDEX(设定!$B$5:$B$14,MATCH(C332,设定!$A$5:$A$14,0)),0))</f>
        <v/>
      </c>
      <c r="K332" s="20" t="str">
        <f aca="false">IF(A332="","",G332*J332/1000)</f>
        <v/>
      </c>
      <c r="L332" s="20" t="str">
        <f aca="false">IF(A332="","",I332*IFERROR(INDEX(设定!$C$5:$C$14,MATCH(C332,设定!$A$5:$A$14,0)),0))</f>
        <v/>
      </c>
      <c r="M332" s="21" t="str">
        <f aca="false">IF(A332="","",IF(L332&gt;0,K332/L332,0))</f>
        <v/>
      </c>
      <c r="N332" s="21" t="str">
        <f aca="false">IF(OR(A332="",H332=""),"",IF(J332&gt;0,(H332-J332)/J332,0))</f>
        <v/>
      </c>
      <c r="O332" s="22" t="str">
        <f aca="false">IF(OR(A332="",H332=""),"",IF(H332&lt;J332,"⚠ 低于标示",""))</f>
        <v/>
      </c>
      <c r="P332" s="19" t="n">
        <f aca="false">IF(OR(A332="",H332=""),0,G332*(H332-J332))</f>
        <v>0</v>
      </c>
      <c r="Q332" s="19" t="n">
        <f aca="false">IF(OR(A332="",H332=""),0,G332*J332)</f>
        <v>0</v>
      </c>
      <c r="R332" s="19" t="n">
        <f aca="false">IF(OR(A332="",H332=""),0,IF(H332&lt;J332,1,0))</f>
        <v>0</v>
      </c>
    </row>
    <row r="333" customFormat="false" ht="15" hidden="false" customHeight="false" outlineLevel="0" collapsed="false">
      <c r="A333" s="16"/>
      <c r="B333" s="17"/>
      <c r="C333" s="18"/>
      <c r="D333" s="17"/>
      <c r="E333" s="17"/>
      <c r="F333" s="17"/>
      <c r="G333" s="17"/>
      <c r="H333" s="17"/>
      <c r="I333" s="19" t="str">
        <f aca="false">IF(A333="","",D333*(E333-F333))</f>
        <v/>
      </c>
      <c r="J333" s="19" t="str">
        <f aca="false">IF(A333="","",IFERROR(INDEX(设定!$B$5:$B$14,MATCH(C333,设定!$A$5:$A$14,0)),0))</f>
        <v/>
      </c>
      <c r="K333" s="20" t="str">
        <f aca="false">IF(A333="","",G333*J333/1000)</f>
        <v/>
      </c>
      <c r="L333" s="20" t="str">
        <f aca="false">IF(A333="","",I333*IFERROR(INDEX(设定!$C$5:$C$14,MATCH(C333,设定!$A$5:$A$14,0)),0))</f>
        <v/>
      </c>
      <c r="M333" s="21" t="str">
        <f aca="false">IF(A333="","",IF(L333&gt;0,K333/L333,0))</f>
        <v/>
      </c>
      <c r="N333" s="21" t="str">
        <f aca="false">IF(OR(A333="",H333=""),"",IF(J333&gt;0,(H333-J333)/J333,0))</f>
        <v/>
      </c>
      <c r="O333" s="22" t="str">
        <f aca="false">IF(OR(A333="",H333=""),"",IF(H333&lt;J333,"⚠ 低于标示",""))</f>
        <v/>
      </c>
      <c r="P333" s="19" t="n">
        <f aca="false">IF(OR(A333="",H333=""),0,G333*(H333-J333))</f>
        <v>0</v>
      </c>
      <c r="Q333" s="19" t="n">
        <f aca="false">IF(OR(A333="",H333=""),0,G333*J333)</f>
        <v>0</v>
      </c>
      <c r="R333" s="19" t="n">
        <f aca="false">IF(OR(A333="",H333=""),0,IF(H333&lt;J333,1,0))</f>
        <v>0</v>
      </c>
    </row>
    <row r="334" customFormat="false" ht="15" hidden="false" customHeight="false" outlineLevel="0" collapsed="false">
      <c r="A334" s="16"/>
      <c r="B334" s="17"/>
      <c r="C334" s="18"/>
      <c r="D334" s="17"/>
      <c r="E334" s="17"/>
      <c r="F334" s="17"/>
      <c r="G334" s="17"/>
      <c r="H334" s="17"/>
      <c r="I334" s="19" t="str">
        <f aca="false">IF(A334="","",D334*(E334-F334))</f>
        <v/>
      </c>
      <c r="J334" s="19" t="str">
        <f aca="false">IF(A334="","",IFERROR(INDEX(设定!$B$5:$B$14,MATCH(C334,设定!$A$5:$A$14,0)),0))</f>
        <v/>
      </c>
      <c r="K334" s="20" t="str">
        <f aca="false">IF(A334="","",G334*J334/1000)</f>
        <v/>
      </c>
      <c r="L334" s="20" t="str">
        <f aca="false">IF(A334="","",I334*IFERROR(INDEX(设定!$C$5:$C$14,MATCH(C334,设定!$A$5:$A$14,0)),0))</f>
        <v/>
      </c>
      <c r="M334" s="21" t="str">
        <f aca="false">IF(A334="","",IF(L334&gt;0,K334/L334,0))</f>
        <v/>
      </c>
      <c r="N334" s="21" t="str">
        <f aca="false">IF(OR(A334="",H334=""),"",IF(J334&gt;0,(H334-J334)/J334,0))</f>
        <v/>
      </c>
      <c r="O334" s="22" t="str">
        <f aca="false">IF(OR(A334="",H334=""),"",IF(H334&lt;J334,"⚠ 低于标示",""))</f>
        <v/>
      </c>
      <c r="P334" s="19" t="n">
        <f aca="false">IF(OR(A334="",H334=""),0,G334*(H334-J334))</f>
        <v>0</v>
      </c>
      <c r="Q334" s="19" t="n">
        <f aca="false">IF(OR(A334="",H334=""),0,G334*J334)</f>
        <v>0</v>
      </c>
      <c r="R334" s="19" t="n">
        <f aca="false">IF(OR(A334="",H334=""),0,IF(H334&lt;J334,1,0))</f>
        <v>0</v>
      </c>
    </row>
    <row r="335" customFormat="false" ht="15" hidden="false" customHeight="false" outlineLevel="0" collapsed="false">
      <c r="A335" s="16"/>
      <c r="B335" s="17"/>
      <c r="C335" s="18"/>
      <c r="D335" s="17"/>
      <c r="E335" s="17"/>
      <c r="F335" s="17"/>
      <c r="G335" s="17"/>
      <c r="H335" s="17"/>
      <c r="I335" s="19" t="str">
        <f aca="false">IF(A335="","",D335*(E335-F335))</f>
        <v/>
      </c>
      <c r="J335" s="19" t="str">
        <f aca="false">IF(A335="","",IFERROR(INDEX(设定!$B$5:$B$14,MATCH(C335,设定!$A$5:$A$14,0)),0))</f>
        <v/>
      </c>
      <c r="K335" s="20" t="str">
        <f aca="false">IF(A335="","",G335*J335/1000)</f>
        <v/>
      </c>
      <c r="L335" s="20" t="str">
        <f aca="false">IF(A335="","",I335*IFERROR(INDEX(设定!$C$5:$C$14,MATCH(C335,设定!$A$5:$A$14,0)),0))</f>
        <v/>
      </c>
      <c r="M335" s="21" t="str">
        <f aca="false">IF(A335="","",IF(L335&gt;0,K335/L335,0))</f>
        <v/>
      </c>
      <c r="N335" s="21" t="str">
        <f aca="false">IF(OR(A335="",H335=""),"",IF(J335&gt;0,(H335-J335)/J335,0))</f>
        <v/>
      </c>
      <c r="O335" s="22" t="str">
        <f aca="false">IF(OR(A335="",H335=""),"",IF(H335&lt;J335,"⚠ 低于标示",""))</f>
        <v/>
      </c>
      <c r="P335" s="19" t="n">
        <f aca="false">IF(OR(A335="",H335=""),0,G335*(H335-J335))</f>
        <v>0</v>
      </c>
      <c r="Q335" s="19" t="n">
        <f aca="false">IF(OR(A335="",H335=""),0,G335*J335)</f>
        <v>0</v>
      </c>
      <c r="R335" s="19" t="n">
        <f aca="false">IF(OR(A335="",H335=""),0,IF(H335&lt;J335,1,0))</f>
        <v>0</v>
      </c>
    </row>
    <row r="336" customFormat="false" ht="15" hidden="false" customHeight="false" outlineLevel="0" collapsed="false">
      <c r="A336" s="16"/>
      <c r="B336" s="17"/>
      <c r="C336" s="18"/>
      <c r="D336" s="17"/>
      <c r="E336" s="17"/>
      <c r="F336" s="17"/>
      <c r="G336" s="17"/>
      <c r="H336" s="17"/>
      <c r="I336" s="19" t="str">
        <f aca="false">IF(A336="","",D336*(E336-F336))</f>
        <v/>
      </c>
      <c r="J336" s="19" t="str">
        <f aca="false">IF(A336="","",IFERROR(INDEX(设定!$B$5:$B$14,MATCH(C336,设定!$A$5:$A$14,0)),0))</f>
        <v/>
      </c>
      <c r="K336" s="20" t="str">
        <f aca="false">IF(A336="","",G336*J336/1000)</f>
        <v/>
      </c>
      <c r="L336" s="20" t="str">
        <f aca="false">IF(A336="","",I336*IFERROR(INDEX(设定!$C$5:$C$14,MATCH(C336,设定!$A$5:$A$14,0)),0))</f>
        <v/>
      </c>
      <c r="M336" s="21" t="str">
        <f aca="false">IF(A336="","",IF(L336&gt;0,K336/L336,0))</f>
        <v/>
      </c>
      <c r="N336" s="21" t="str">
        <f aca="false">IF(OR(A336="",H336=""),"",IF(J336&gt;0,(H336-J336)/J336,0))</f>
        <v/>
      </c>
      <c r="O336" s="22" t="str">
        <f aca="false">IF(OR(A336="",H336=""),"",IF(H336&lt;J336,"⚠ 低于标示",""))</f>
        <v/>
      </c>
      <c r="P336" s="19" t="n">
        <f aca="false">IF(OR(A336="",H336=""),0,G336*(H336-J336))</f>
        <v>0</v>
      </c>
      <c r="Q336" s="19" t="n">
        <f aca="false">IF(OR(A336="",H336=""),0,G336*J336)</f>
        <v>0</v>
      </c>
      <c r="R336" s="19" t="n">
        <f aca="false">IF(OR(A336="",H336=""),0,IF(H336&lt;J336,1,0))</f>
        <v>0</v>
      </c>
    </row>
    <row r="337" customFormat="false" ht="15" hidden="false" customHeight="false" outlineLevel="0" collapsed="false">
      <c r="A337" s="16"/>
      <c r="B337" s="17"/>
      <c r="C337" s="18"/>
      <c r="D337" s="17"/>
      <c r="E337" s="17"/>
      <c r="F337" s="17"/>
      <c r="G337" s="17"/>
      <c r="H337" s="17"/>
      <c r="I337" s="19" t="str">
        <f aca="false">IF(A337="","",D337*(E337-F337))</f>
        <v/>
      </c>
      <c r="J337" s="19" t="str">
        <f aca="false">IF(A337="","",IFERROR(INDEX(设定!$B$5:$B$14,MATCH(C337,设定!$A$5:$A$14,0)),0))</f>
        <v/>
      </c>
      <c r="K337" s="20" t="str">
        <f aca="false">IF(A337="","",G337*J337/1000)</f>
        <v/>
      </c>
      <c r="L337" s="20" t="str">
        <f aca="false">IF(A337="","",I337*IFERROR(INDEX(设定!$C$5:$C$14,MATCH(C337,设定!$A$5:$A$14,0)),0))</f>
        <v/>
      </c>
      <c r="M337" s="21" t="str">
        <f aca="false">IF(A337="","",IF(L337&gt;0,K337/L337,0))</f>
        <v/>
      </c>
      <c r="N337" s="21" t="str">
        <f aca="false">IF(OR(A337="",H337=""),"",IF(J337&gt;0,(H337-J337)/J337,0))</f>
        <v/>
      </c>
      <c r="O337" s="22" t="str">
        <f aca="false">IF(OR(A337="",H337=""),"",IF(H337&lt;J337,"⚠ 低于标示",""))</f>
        <v/>
      </c>
      <c r="P337" s="19" t="n">
        <f aca="false">IF(OR(A337="",H337=""),0,G337*(H337-J337))</f>
        <v>0</v>
      </c>
      <c r="Q337" s="19" t="n">
        <f aca="false">IF(OR(A337="",H337=""),0,G337*J337)</f>
        <v>0</v>
      </c>
      <c r="R337" s="19" t="n">
        <f aca="false">IF(OR(A337="",H337=""),0,IF(H337&lt;J337,1,0))</f>
        <v>0</v>
      </c>
    </row>
    <row r="338" customFormat="false" ht="15" hidden="false" customHeight="false" outlineLevel="0" collapsed="false">
      <c r="A338" s="16"/>
      <c r="B338" s="17"/>
      <c r="C338" s="18"/>
      <c r="D338" s="17"/>
      <c r="E338" s="17"/>
      <c r="F338" s="17"/>
      <c r="G338" s="17"/>
      <c r="H338" s="17"/>
      <c r="I338" s="19" t="str">
        <f aca="false">IF(A338="","",D338*(E338-F338))</f>
        <v/>
      </c>
      <c r="J338" s="19" t="str">
        <f aca="false">IF(A338="","",IFERROR(INDEX(设定!$B$5:$B$14,MATCH(C338,设定!$A$5:$A$14,0)),0))</f>
        <v/>
      </c>
      <c r="K338" s="20" t="str">
        <f aca="false">IF(A338="","",G338*J338/1000)</f>
        <v/>
      </c>
      <c r="L338" s="20" t="str">
        <f aca="false">IF(A338="","",I338*IFERROR(INDEX(设定!$C$5:$C$14,MATCH(C338,设定!$A$5:$A$14,0)),0))</f>
        <v/>
      </c>
      <c r="M338" s="21" t="str">
        <f aca="false">IF(A338="","",IF(L338&gt;0,K338/L338,0))</f>
        <v/>
      </c>
      <c r="N338" s="21" t="str">
        <f aca="false">IF(OR(A338="",H338=""),"",IF(J338&gt;0,(H338-J338)/J338,0))</f>
        <v/>
      </c>
      <c r="O338" s="22" t="str">
        <f aca="false">IF(OR(A338="",H338=""),"",IF(H338&lt;J338,"⚠ 低于标示",""))</f>
        <v/>
      </c>
      <c r="P338" s="19" t="n">
        <f aca="false">IF(OR(A338="",H338=""),0,G338*(H338-J338))</f>
        <v>0</v>
      </c>
      <c r="Q338" s="19" t="n">
        <f aca="false">IF(OR(A338="",H338=""),0,G338*J338)</f>
        <v>0</v>
      </c>
      <c r="R338" s="19" t="n">
        <f aca="false">IF(OR(A338="",H338=""),0,IF(H338&lt;J338,1,0))</f>
        <v>0</v>
      </c>
    </row>
    <row r="339" customFormat="false" ht="15" hidden="false" customHeight="false" outlineLevel="0" collapsed="false">
      <c r="A339" s="16"/>
      <c r="B339" s="17"/>
      <c r="C339" s="18"/>
      <c r="D339" s="17"/>
      <c r="E339" s="17"/>
      <c r="F339" s="17"/>
      <c r="G339" s="17"/>
      <c r="H339" s="17"/>
      <c r="I339" s="19" t="str">
        <f aca="false">IF(A339="","",D339*(E339-F339))</f>
        <v/>
      </c>
      <c r="J339" s="19" t="str">
        <f aca="false">IF(A339="","",IFERROR(INDEX(设定!$B$5:$B$14,MATCH(C339,设定!$A$5:$A$14,0)),0))</f>
        <v/>
      </c>
      <c r="K339" s="20" t="str">
        <f aca="false">IF(A339="","",G339*J339/1000)</f>
        <v/>
      </c>
      <c r="L339" s="20" t="str">
        <f aca="false">IF(A339="","",I339*IFERROR(INDEX(设定!$C$5:$C$14,MATCH(C339,设定!$A$5:$A$14,0)),0))</f>
        <v/>
      </c>
      <c r="M339" s="21" t="str">
        <f aca="false">IF(A339="","",IF(L339&gt;0,K339/L339,0))</f>
        <v/>
      </c>
      <c r="N339" s="21" t="str">
        <f aca="false">IF(OR(A339="",H339=""),"",IF(J339&gt;0,(H339-J339)/J339,0))</f>
        <v/>
      </c>
      <c r="O339" s="22" t="str">
        <f aca="false">IF(OR(A339="",H339=""),"",IF(H339&lt;J339,"⚠ 低于标示",""))</f>
        <v/>
      </c>
      <c r="P339" s="19" t="n">
        <f aca="false">IF(OR(A339="",H339=""),0,G339*(H339-J339))</f>
        <v>0</v>
      </c>
      <c r="Q339" s="19" t="n">
        <f aca="false">IF(OR(A339="",H339=""),0,G339*J339)</f>
        <v>0</v>
      </c>
      <c r="R339" s="19" t="n">
        <f aca="false">IF(OR(A339="",H339=""),0,IF(H339&lt;J339,1,0))</f>
        <v>0</v>
      </c>
    </row>
    <row r="340" customFormat="false" ht="15" hidden="false" customHeight="false" outlineLevel="0" collapsed="false">
      <c r="A340" s="16"/>
      <c r="B340" s="17"/>
      <c r="C340" s="18"/>
      <c r="D340" s="17"/>
      <c r="E340" s="17"/>
      <c r="F340" s="17"/>
      <c r="G340" s="17"/>
      <c r="H340" s="17"/>
      <c r="I340" s="19" t="str">
        <f aca="false">IF(A340="","",D340*(E340-F340))</f>
        <v/>
      </c>
      <c r="J340" s="19" t="str">
        <f aca="false">IF(A340="","",IFERROR(INDEX(设定!$B$5:$B$14,MATCH(C340,设定!$A$5:$A$14,0)),0))</f>
        <v/>
      </c>
      <c r="K340" s="20" t="str">
        <f aca="false">IF(A340="","",G340*J340/1000)</f>
        <v/>
      </c>
      <c r="L340" s="20" t="str">
        <f aca="false">IF(A340="","",I340*IFERROR(INDEX(设定!$C$5:$C$14,MATCH(C340,设定!$A$5:$A$14,0)),0))</f>
        <v/>
      </c>
      <c r="M340" s="21" t="str">
        <f aca="false">IF(A340="","",IF(L340&gt;0,K340/L340,0))</f>
        <v/>
      </c>
      <c r="N340" s="21" t="str">
        <f aca="false">IF(OR(A340="",H340=""),"",IF(J340&gt;0,(H340-J340)/J340,0))</f>
        <v/>
      </c>
      <c r="O340" s="22" t="str">
        <f aca="false">IF(OR(A340="",H340=""),"",IF(H340&lt;J340,"⚠ 低于标示",""))</f>
        <v/>
      </c>
      <c r="P340" s="19" t="n">
        <f aca="false">IF(OR(A340="",H340=""),0,G340*(H340-J340))</f>
        <v>0</v>
      </c>
      <c r="Q340" s="19" t="n">
        <f aca="false">IF(OR(A340="",H340=""),0,G340*J340)</f>
        <v>0</v>
      </c>
      <c r="R340" s="19" t="n">
        <f aca="false">IF(OR(A340="",H340=""),0,IF(H340&lt;J340,1,0))</f>
        <v>0</v>
      </c>
    </row>
    <row r="341" customFormat="false" ht="15" hidden="false" customHeight="false" outlineLevel="0" collapsed="false">
      <c r="A341" s="16"/>
      <c r="B341" s="17"/>
      <c r="C341" s="18"/>
      <c r="D341" s="17"/>
      <c r="E341" s="17"/>
      <c r="F341" s="17"/>
      <c r="G341" s="17"/>
      <c r="H341" s="17"/>
      <c r="I341" s="19" t="str">
        <f aca="false">IF(A341="","",D341*(E341-F341))</f>
        <v/>
      </c>
      <c r="J341" s="19" t="str">
        <f aca="false">IF(A341="","",IFERROR(INDEX(设定!$B$5:$B$14,MATCH(C341,设定!$A$5:$A$14,0)),0))</f>
        <v/>
      </c>
      <c r="K341" s="20" t="str">
        <f aca="false">IF(A341="","",G341*J341/1000)</f>
        <v/>
      </c>
      <c r="L341" s="20" t="str">
        <f aca="false">IF(A341="","",I341*IFERROR(INDEX(设定!$C$5:$C$14,MATCH(C341,设定!$A$5:$A$14,0)),0))</f>
        <v/>
      </c>
      <c r="M341" s="21" t="str">
        <f aca="false">IF(A341="","",IF(L341&gt;0,K341/L341,0))</f>
        <v/>
      </c>
      <c r="N341" s="21" t="str">
        <f aca="false">IF(OR(A341="",H341=""),"",IF(J341&gt;0,(H341-J341)/J341,0))</f>
        <v/>
      </c>
      <c r="O341" s="22" t="str">
        <f aca="false">IF(OR(A341="",H341=""),"",IF(H341&lt;J341,"⚠ 低于标示",""))</f>
        <v/>
      </c>
      <c r="P341" s="19" t="n">
        <f aca="false">IF(OR(A341="",H341=""),0,G341*(H341-J341))</f>
        <v>0</v>
      </c>
      <c r="Q341" s="19" t="n">
        <f aca="false">IF(OR(A341="",H341=""),0,G341*J341)</f>
        <v>0</v>
      </c>
      <c r="R341" s="19" t="n">
        <f aca="false">IF(OR(A341="",H341=""),0,IF(H341&lt;J341,1,0))</f>
        <v>0</v>
      </c>
    </row>
    <row r="342" customFormat="false" ht="15" hidden="false" customHeight="false" outlineLevel="0" collapsed="false">
      <c r="A342" s="16"/>
      <c r="B342" s="17"/>
      <c r="C342" s="18"/>
      <c r="D342" s="17"/>
      <c r="E342" s="17"/>
      <c r="F342" s="17"/>
      <c r="G342" s="17"/>
      <c r="H342" s="17"/>
      <c r="I342" s="19" t="str">
        <f aca="false">IF(A342="","",D342*(E342-F342))</f>
        <v/>
      </c>
      <c r="J342" s="19" t="str">
        <f aca="false">IF(A342="","",IFERROR(INDEX(设定!$B$5:$B$14,MATCH(C342,设定!$A$5:$A$14,0)),0))</f>
        <v/>
      </c>
      <c r="K342" s="20" t="str">
        <f aca="false">IF(A342="","",G342*J342/1000)</f>
        <v/>
      </c>
      <c r="L342" s="20" t="str">
        <f aca="false">IF(A342="","",I342*IFERROR(INDEX(设定!$C$5:$C$14,MATCH(C342,设定!$A$5:$A$14,0)),0))</f>
        <v/>
      </c>
      <c r="M342" s="21" t="str">
        <f aca="false">IF(A342="","",IF(L342&gt;0,K342/L342,0))</f>
        <v/>
      </c>
      <c r="N342" s="21" t="str">
        <f aca="false">IF(OR(A342="",H342=""),"",IF(J342&gt;0,(H342-J342)/J342,0))</f>
        <v/>
      </c>
      <c r="O342" s="22" t="str">
        <f aca="false">IF(OR(A342="",H342=""),"",IF(H342&lt;J342,"⚠ 低于标示",""))</f>
        <v/>
      </c>
      <c r="P342" s="19" t="n">
        <f aca="false">IF(OR(A342="",H342=""),0,G342*(H342-J342))</f>
        <v>0</v>
      </c>
      <c r="Q342" s="19" t="n">
        <f aca="false">IF(OR(A342="",H342=""),0,G342*J342)</f>
        <v>0</v>
      </c>
      <c r="R342" s="19" t="n">
        <f aca="false">IF(OR(A342="",H342=""),0,IF(H342&lt;J342,1,0))</f>
        <v>0</v>
      </c>
    </row>
    <row r="343" customFormat="false" ht="15" hidden="false" customHeight="false" outlineLevel="0" collapsed="false">
      <c r="A343" s="16"/>
      <c r="B343" s="17"/>
      <c r="C343" s="18"/>
      <c r="D343" s="17"/>
      <c r="E343" s="17"/>
      <c r="F343" s="17"/>
      <c r="G343" s="17"/>
      <c r="H343" s="17"/>
      <c r="I343" s="19" t="str">
        <f aca="false">IF(A343="","",D343*(E343-F343))</f>
        <v/>
      </c>
      <c r="J343" s="19" t="str">
        <f aca="false">IF(A343="","",IFERROR(INDEX(设定!$B$5:$B$14,MATCH(C343,设定!$A$5:$A$14,0)),0))</f>
        <v/>
      </c>
      <c r="K343" s="20" t="str">
        <f aca="false">IF(A343="","",G343*J343/1000)</f>
        <v/>
      </c>
      <c r="L343" s="20" t="str">
        <f aca="false">IF(A343="","",I343*IFERROR(INDEX(设定!$C$5:$C$14,MATCH(C343,设定!$A$5:$A$14,0)),0))</f>
        <v/>
      </c>
      <c r="M343" s="21" t="str">
        <f aca="false">IF(A343="","",IF(L343&gt;0,K343/L343,0))</f>
        <v/>
      </c>
      <c r="N343" s="21" t="str">
        <f aca="false">IF(OR(A343="",H343=""),"",IF(J343&gt;0,(H343-J343)/J343,0))</f>
        <v/>
      </c>
      <c r="O343" s="22" t="str">
        <f aca="false">IF(OR(A343="",H343=""),"",IF(H343&lt;J343,"⚠ 低于标示",""))</f>
        <v/>
      </c>
      <c r="P343" s="19" t="n">
        <f aca="false">IF(OR(A343="",H343=""),0,G343*(H343-J343))</f>
        <v>0</v>
      </c>
      <c r="Q343" s="19" t="n">
        <f aca="false">IF(OR(A343="",H343=""),0,G343*J343)</f>
        <v>0</v>
      </c>
      <c r="R343" s="19" t="n">
        <f aca="false">IF(OR(A343="",H343=""),0,IF(H343&lt;J343,1,0))</f>
        <v>0</v>
      </c>
    </row>
    <row r="344" customFormat="false" ht="15" hidden="false" customHeight="false" outlineLevel="0" collapsed="false">
      <c r="A344" s="16"/>
      <c r="B344" s="17"/>
      <c r="C344" s="18"/>
      <c r="D344" s="17"/>
      <c r="E344" s="17"/>
      <c r="F344" s="17"/>
      <c r="G344" s="17"/>
      <c r="H344" s="17"/>
      <c r="I344" s="19" t="str">
        <f aca="false">IF(A344="","",D344*(E344-F344))</f>
        <v/>
      </c>
      <c r="J344" s="19" t="str">
        <f aca="false">IF(A344="","",IFERROR(INDEX(设定!$B$5:$B$14,MATCH(C344,设定!$A$5:$A$14,0)),0))</f>
        <v/>
      </c>
      <c r="K344" s="20" t="str">
        <f aca="false">IF(A344="","",G344*J344/1000)</f>
        <v/>
      </c>
      <c r="L344" s="20" t="str">
        <f aca="false">IF(A344="","",I344*IFERROR(INDEX(设定!$C$5:$C$14,MATCH(C344,设定!$A$5:$A$14,0)),0))</f>
        <v/>
      </c>
      <c r="M344" s="21" t="str">
        <f aca="false">IF(A344="","",IF(L344&gt;0,K344/L344,0))</f>
        <v/>
      </c>
      <c r="N344" s="21" t="str">
        <f aca="false">IF(OR(A344="",H344=""),"",IF(J344&gt;0,(H344-J344)/J344,0))</f>
        <v/>
      </c>
      <c r="O344" s="22" t="str">
        <f aca="false">IF(OR(A344="",H344=""),"",IF(H344&lt;J344,"⚠ 低于标示",""))</f>
        <v/>
      </c>
      <c r="P344" s="19" t="n">
        <f aca="false">IF(OR(A344="",H344=""),0,G344*(H344-J344))</f>
        <v>0</v>
      </c>
      <c r="Q344" s="19" t="n">
        <f aca="false">IF(OR(A344="",H344=""),0,G344*J344)</f>
        <v>0</v>
      </c>
      <c r="R344" s="19" t="n">
        <f aca="false">IF(OR(A344="",H344=""),0,IF(H344&lt;J344,1,0))</f>
        <v>0</v>
      </c>
    </row>
    <row r="345" customFormat="false" ht="15" hidden="false" customHeight="false" outlineLevel="0" collapsed="false">
      <c r="A345" s="16"/>
      <c r="B345" s="17"/>
      <c r="C345" s="18"/>
      <c r="D345" s="17"/>
      <c r="E345" s="17"/>
      <c r="F345" s="17"/>
      <c r="G345" s="17"/>
      <c r="H345" s="17"/>
      <c r="I345" s="19" t="str">
        <f aca="false">IF(A345="","",D345*(E345-F345))</f>
        <v/>
      </c>
      <c r="J345" s="19" t="str">
        <f aca="false">IF(A345="","",IFERROR(INDEX(设定!$B$5:$B$14,MATCH(C345,设定!$A$5:$A$14,0)),0))</f>
        <v/>
      </c>
      <c r="K345" s="20" t="str">
        <f aca="false">IF(A345="","",G345*J345/1000)</f>
        <v/>
      </c>
      <c r="L345" s="20" t="str">
        <f aca="false">IF(A345="","",I345*IFERROR(INDEX(设定!$C$5:$C$14,MATCH(C345,设定!$A$5:$A$14,0)),0))</f>
        <v/>
      </c>
      <c r="M345" s="21" t="str">
        <f aca="false">IF(A345="","",IF(L345&gt;0,K345/L345,0))</f>
        <v/>
      </c>
      <c r="N345" s="21" t="str">
        <f aca="false">IF(OR(A345="",H345=""),"",IF(J345&gt;0,(H345-J345)/J345,0))</f>
        <v/>
      </c>
      <c r="O345" s="22" t="str">
        <f aca="false">IF(OR(A345="",H345=""),"",IF(H345&lt;J345,"⚠ 低于标示",""))</f>
        <v/>
      </c>
      <c r="P345" s="19" t="n">
        <f aca="false">IF(OR(A345="",H345=""),0,G345*(H345-J345))</f>
        <v>0</v>
      </c>
      <c r="Q345" s="19" t="n">
        <f aca="false">IF(OR(A345="",H345=""),0,G345*J345)</f>
        <v>0</v>
      </c>
      <c r="R345" s="19" t="n">
        <f aca="false">IF(OR(A345="",H345=""),0,IF(H345&lt;J345,1,0))</f>
        <v>0</v>
      </c>
    </row>
    <row r="346" customFormat="false" ht="15" hidden="false" customHeight="false" outlineLevel="0" collapsed="false">
      <c r="A346" s="16"/>
      <c r="B346" s="17"/>
      <c r="C346" s="18"/>
      <c r="D346" s="17"/>
      <c r="E346" s="17"/>
      <c r="F346" s="17"/>
      <c r="G346" s="17"/>
      <c r="H346" s="17"/>
      <c r="I346" s="19" t="str">
        <f aca="false">IF(A346="","",D346*(E346-F346))</f>
        <v/>
      </c>
      <c r="J346" s="19" t="str">
        <f aca="false">IF(A346="","",IFERROR(INDEX(设定!$B$5:$B$14,MATCH(C346,设定!$A$5:$A$14,0)),0))</f>
        <v/>
      </c>
      <c r="K346" s="20" t="str">
        <f aca="false">IF(A346="","",G346*J346/1000)</f>
        <v/>
      </c>
      <c r="L346" s="20" t="str">
        <f aca="false">IF(A346="","",I346*IFERROR(INDEX(设定!$C$5:$C$14,MATCH(C346,设定!$A$5:$A$14,0)),0))</f>
        <v/>
      </c>
      <c r="M346" s="21" t="str">
        <f aca="false">IF(A346="","",IF(L346&gt;0,K346/L346,0))</f>
        <v/>
      </c>
      <c r="N346" s="21" t="str">
        <f aca="false">IF(OR(A346="",H346=""),"",IF(J346&gt;0,(H346-J346)/J346,0))</f>
        <v/>
      </c>
      <c r="O346" s="22" t="str">
        <f aca="false">IF(OR(A346="",H346=""),"",IF(H346&lt;J346,"⚠ 低于标示",""))</f>
        <v/>
      </c>
      <c r="P346" s="19" t="n">
        <f aca="false">IF(OR(A346="",H346=""),0,G346*(H346-J346))</f>
        <v>0</v>
      </c>
      <c r="Q346" s="19" t="n">
        <f aca="false">IF(OR(A346="",H346=""),0,G346*J346)</f>
        <v>0</v>
      </c>
      <c r="R346" s="19" t="n">
        <f aca="false">IF(OR(A346="",H346=""),0,IF(H346&lt;J346,1,0))</f>
        <v>0</v>
      </c>
    </row>
    <row r="347" customFormat="false" ht="15" hidden="false" customHeight="false" outlineLevel="0" collapsed="false">
      <c r="A347" s="16"/>
      <c r="B347" s="17"/>
      <c r="C347" s="18"/>
      <c r="D347" s="17"/>
      <c r="E347" s="17"/>
      <c r="F347" s="17"/>
      <c r="G347" s="17"/>
      <c r="H347" s="17"/>
      <c r="I347" s="19" t="str">
        <f aca="false">IF(A347="","",D347*(E347-F347))</f>
        <v/>
      </c>
      <c r="J347" s="19" t="str">
        <f aca="false">IF(A347="","",IFERROR(INDEX(设定!$B$5:$B$14,MATCH(C347,设定!$A$5:$A$14,0)),0))</f>
        <v/>
      </c>
      <c r="K347" s="20" t="str">
        <f aca="false">IF(A347="","",G347*J347/1000)</f>
        <v/>
      </c>
      <c r="L347" s="20" t="str">
        <f aca="false">IF(A347="","",I347*IFERROR(INDEX(设定!$C$5:$C$14,MATCH(C347,设定!$A$5:$A$14,0)),0))</f>
        <v/>
      </c>
      <c r="M347" s="21" t="str">
        <f aca="false">IF(A347="","",IF(L347&gt;0,K347/L347,0))</f>
        <v/>
      </c>
      <c r="N347" s="21" t="str">
        <f aca="false">IF(OR(A347="",H347=""),"",IF(J347&gt;0,(H347-J347)/J347,0))</f>
        <v/>
      </c>
      <c r="O347" s="22" t="str">
        <f aca="false">IF(OR(A347="",H347=""),"",IF(H347&lt;J347,"⚠ 低于标示",""))</f>
        <v/>
      </c>
      <c r="P347" s="19" t="n">
        <f aca="false">IF(OR(A347="",H347=""),0,G347*(H347-J347))</f>
        <v>0</v>
      </c>
      <c r="Q347" s="19" t="n">
        <f aca="false">IF(OR(A347="",H347=""),0,G347*J347)</f>
        <v>0</v>
      </c>
      <c r="R347" s="19" t="n">
        <f aca="false">IF(OR(A347="",H347=""),0,IF(H347&lt;J347,1,0))</f>
        <v>0</v>
      </c>
    </row>
    <row r="348" customFormat="false" ht="15" hidden="false" customHeight="false" outlineLevel="0" collapsed="false">
      <c r="A348" s="16"/>
      <c r="B348" s="17"/>
      <c r="C348" s="18"/>
      <c r="D348" s="17"/>
      <c r="E348" s="17"/>
      <c r="F348" s="17"/>
      <c r="G348" s="17"/>
      <c r="H348" s="17"/>
      <c r="I348" s="19" t="str">
        <f aca="false">IF(A348="","",D348*(E348-F348))</f>
        <v/>
      </c>
      <c r="J348" s="19" t="str">
        <f aca="false">IF(A348="","",IFERROR(INDEX(设定!$B$5:$B$14,MATCH(C348,设定!$A$5:$A$14,0)),0))</f>
        <v/>
      </c>
      <c r="K348" s="20" t="str">
        <f aca="false">IF(A348="","",G348*J348/1000)</f>
        <v/>
      </c>
      <c r="L348" s="20" t="str">
        <f aca="false">IF(A348="","",I348*IFERROR(INDEX(设定!$C$5:$C$14,MATCH(C348,设定!$A$5:$A$14,0)),0))</f>
        <v/>
      </c>
      <c r="M348" s="21" t="str">
        <f aca="false">IF(A348="","",IF(L348&gt;0,K348/L348,0))</f>
        <v/>
      </c>
      <c r="N348" s="21" t="str">
        <f aca="false">IF(OR(A348="",H348=""),"",IF(J348&gt;0,(H348-J348)/J348,0))</f>
        <v/>
      </c>
      <c r="O348" s="22" t="str">
        <f aca="false">IF(OR(A348="",H348=""),"",IF(H348&lt;J348,"⚠ 低于标示",""))</f>
        <v/>
      </c>
      <c r="P348" s="19" t="n">
        <f aca="false">IF(OR(A348="",H348=""),0,G348*(H348-J348))</f>
        <v>0</v>
      </c>
      <c r="Q348" s="19" t="n">
        <f aca="false">IF(OR(A348="",H348=""),0,G348*J348)</f>
        <v>0</v>
      </c>
      <c r="R348" s="19" t="n">
        <f aca="false">IF(OR(A348="",H348=""),0,IF(H348&lt;J348,1,0))</f>
        <v>0</v>
      </c>
    </row>
    <row r="349" customFormat="false" ht="15" hidden="false" customHeight="false" outlineLevel="0" collapsed="false">
      <c r="A349" s="16"/>
      <c r="B349" s="17"/>
      <c r="C349" s="18"/>
      <c r="D349" s="17"/>
      <c r="E349" s="17"/>
      <c r="F349" s="17"/>
      <c r="G349" s="17"/>
      <c r="H349" s="17"/>
      <c r="I349" s="19" t="str">
        <f aca="false">IF(A349="","",D349*(E349-F349))</f>
        <v/>
      </c>
      <c r="J349" s="19" t="str">
        <f aca="false">IF(A349="","",IFERROR(INDEX(设定!$B$5:$B$14,MATCH(C349,设定!$A$5:$A$14,0)),0))</f>
        <v/>
      </c>
      <c r="K349" s="20" t="str">
        <f aca="false">IF(A349="","",G349*J349/1000)</f>
        <v/>
      </c>
      <c r="L349" s="20" t="str">
        <f aca="false">IF(A349="","",I349*IFERROR(INDEX(设定!$C$5:$C$14,MATCH(C349,设定!$A$5:$A$14,0)),0))</f>
        <v/>
      </c>
      <c r="M349" s="21" t="str">
        <f aca="false">IF(A349="","",IF(L349&gt;0,K349/L349,0))</f>
        <v/>
      </c>
      <c r="N349" s="21" t="str">
        <f aca="false">IF(OR(A349="",H349=""),"",IF(J349&gt;0,(H349-J349)/J349,0))</f>
        <v/>
      </c>
      <c r="O349" s="22" t="str">
        <f aca="false">IF(OR(A349="",H349=""),"",IF(H349&lt;J349,"⚠ 低于标示",""))</f>
        <v/>
      </c>
      <c r="P349" s="19" t="n">
        <f aca="false">IF(OR(A349="",H349=""),0,G349*(H349-J349))</f>
        <v>0</v>
      </c>
      <c r="Q349" s="19" t="n">
        <f aca="false">IF(OR(A349="",H349=""),0,G349*J349)</f>
        <v>0</v>
      </c>
      <c r="R349" s="19" t="n">
        <f aca="false">IF(OR(A349="",H349=""),0,IF(H349&lt;J349,1,0))</f>
        <v>0</v>
      </c>
    </row>
    <row r="350" customFormat="false" ht="15" hidden="false" customHeight="false" outlineLevel="0" collapsed="false">
      <c r="A350" s="16"/>
      <c r="B350" s="17"/>
      <c r="C350" s="18"/>
      <c r="D350" s="17"/>
      <c r="E350" s="17"/>
      <c r="F350" s="17"/>
      <c r="G350" s="17"/>
      <c r="H350" s="17"/>
      <c r="I350" s="19" t="str">
        <f aca="false">IF(A350="","",D350*(E350-F350))</f>
        <v/>
      </c>
      <c r="J350" s="19" t="str">
        <f aca="false">IF(A350="","",IFERROR(INDEX(设定!$B$5:$B$14,MATCH(C350,设定!$A$5:$A$14,0)),0))</f>
        <v/>
      </c>
      <c r="K350" s="20" t="str">
        <f aca="false">IF(A350="","",G350*J350/1000)</f>
        <v/>
      </c>
      <c r="L350" s="20" t="str">
        <f aca="false">IF(A350="","",I350*IFERROR(INDEX(设定!$C$5:$C$14,MATCH(C350,设定!$A$5:$A$14,0)),0))</f>
        <v/>
      </c>
      <c r="M350" s="21" t="str">
        <f aca="false">IF(A350="","",IF(L350&gt;0,K350/L350,0))</f>
        <v/>
      </c>
      <c r="N350" s="21" t="str">
        <f aca="false">IF(OR(A350="",H350=""),"",IF(J350&gt;0,(H350-J350)/J350,0))</f>
        <v/>
      </c>
      <c r="O350" s="22" t="str">
        <f aca="false">IF(OR(A350="",H350=""),"",IF(H350&lt;J350,"⚠ 低于标示",""))</f>
        <v/>
      </c>
      <c r="P350" s="19" t="n">
        <f aca="false">IF(OR(A350="",H350=""),0,G350*(H350-J350))</f>
        <v>0</v>
      </c>
      <c r="Q350" s="19" t="n">
        <f aca="false">IF(OR(A350="",H350=""),0,G350*J350)</f>
        <v>0</v>
      </c>
      <c r="R350" s="19" t="n">
        <f aca="false">IF(OR(A350="",H350=""),0,IF(H350&lt;J350,1,0))</f>
        <v>0</v>
      </c>
    </row>
    <row r="351" customFormat="false" ht="15" hidden="false" customHeight="false" outlineLevel="0" collapsed="false">
      <c r="A351" s="16"/>
      <c r="B351" s="17"/>
      <c r="C351" s="18"/>
      <c r="D351" s="17"/>
      <c r="E351" s="17"/>
      <c r="F351" s="17"/>
      <c r="G351" s="17"/>
      <c r="H351" s="17"/>
      <c r="I351" s="19" t="str">
        <f aca="false">IF(A351="","",D351*(E351-F351))</f>
        <v/>
      </c>
      <c r="J351" s="19" t="str">
        <f aca="false">IF(A351="","",IFERROR(INDEX(设定!$B$5:$B$14,MATCH(C351,设定!$A$5:$A$14,0)),0))</f>
        <v/>
      </c>
      <c r="K351" s="20" t="str">
        <f aca="false">IF(A351="","",G351*J351/1000)</f>
        <v/>
      </c>
      <c r="L351" s="20" t="str">
        <f aca="false">IF(A351="","",I351*IFERROR(INDEX(设定!$C$5:$C$14,MATCH(C351,设定!$A$5:$A$14,0)),0))</f>
        <v/>
      </c>
      <c r="M351" s="21" t="str">
        <f aca="false">IF(A351="","",IF(L351&gt;0,K351/L351,0))</f>
        <v/>
      </c>
      <c r="N351" s="21" t="str">
        <f aca="false">IF(OR(A351="",H351=""),"",IF(J351&gt;0,(H351-J351)/J351,0))</f>
        <v/>
      </c>
      <c r="O351" s="22" t="str">
        <f aca="false">IF(OR(A351="",H351=""),"",IF(H351&lt;J351,"⚠ 低于标示",""))</f>
        <v/>
      </c>
      <c r="P351" s="19" t="n">
        <f aca="false">IF(OR(A351="",H351=""),0,G351*(H351-J351))</f>
        <v>0</v>
      </c>
      <c r="Q351" s="19" t="n">
        <f aca="false">IF(OR(A351="",H351=""),0,G351*J351)</f>
        <v>0</v>
      </c>
      <c r="R351" s="19" t="n">
        <f aca="false">IF(OR(A351="",H351=""),0,IF(H351&lt;J351,1,0))</f>
        <v>0</v>
      </c>
    </row>
    <row r="352" customFormat="false" ht="15" hidden="false" customHeight="false" outlineLevel="0" collapsed="false">
      <c r="A352" s="16"/>
      <c r="B352" s="17"/>
      <c r="C352" s="18"/>
      <c r="D352" s="17"/>
      <c r="E352" s="17"/>
      <c r="F352" s="17"/>
      <c r="G352" s="17"/>
      <c r="H352" s="17"/>
      <c r="I352" s="19" t="str">
        <f aca="false">IF(A352="","",D352*(E352-F352))</f>
        <v/>
      </c>
      <c r="J352" s="19" t="str">
        <f aca="false">IF(A352="","",IFERROR(INDEX(设定!$B$5:$B$14,MATCH(C352,设定!$A$5:$A$14,0)),0))</f>
        <v/>
      </c>
      <c r="K352" s="20" t="str">
        <f aca="false">IF(A352="","",G352*J352/1000)</f>
        <v/>
      </c>
      <c r="L352" s="20" t="str">
        <f aca="false">IF(A352="","",I352*IFERROR(INDEX(设定!$C$5:$C$14,MATCH(C352,设定!$A$5:$A$14,0)),0))</f>
        <v/>
      </c>
      <c r="M352" s="21" t="str">
        <f aca="false">IF(A352="","",IF(L352&gt;0,K352/L352,0))</f>
        <v/>
      </c>
      <c r="N352" s="21" t="str">
        <f aca="false">IF(OR(A352="",H352=""),"",IF(J352&gt;0,(H352-J352)/J352,0))</f>
        <v/>
      </c>
      <c r="O352" s="22" t="str">
        <f aca="false">IF(OR(A352="",H352=""),"",IF(H352&lt;J352,"⚠ 低于标示",""))</f>
        <v/>
      </c>
      <c r="P352" s="19" t="n">
        <f aca="false">IF(OR(A352="",H352=""),0,G352*(H352-J352))</f>
        <v>0</v>
      </c>
      <c r="Q352" s="19" t="n">
        <f aca="false">IF(OR(A352="",H352=""),0,G352*J352)</f>
        <v>0</v>
      </c>
      <c r="R352" s="19" t="n">
        <f aca="false">IF(OR(A352="",H352=""),0,IF(H352&lt;J352,1,0))</f>
        <v>0</v>
      </c>
    </row>
    <row r="353" customFormat="false" ht="15" hidden="false" customHeight="false" outlineLevel="0" collapsed="false">
      <c r="A353" s="16"/>
      <c r="B353" s="17"/>
      <c r="C353" s="18"/>
      <c r="D353" s="17"/>
      <c r="E353" s="17"/>
      <c r="F353" s="17"/>
      <c r="G353" s="17"/>
      <c r="H353" s="17"/>
      <c r="I353" s="19" t="str">
        <f aca="false">IF(A353="","",D353*(E353-F353))</f>
        <v/>
      </c>
      <c r="J353" s="19" t="str">
        <f aca="false">IF(A353="","",IFERROR(INDEX(设定!$B$5:$B$14,MATCH(C353,设定!$A$5:$A$14,0)),0))</f>
        <v/>
      </c>
      <c r="K353" s="20" t="str">
        <f aca="false">IF(A353="","",G353*J353/1000)</f>
        <v/>
      </c>
      <c r="L353" s="20" t="str">
        <f aca="false">IF(A353="","",I353*IFERROR(INDEX(设定!$C$5:$C$14,MATCH(C353,设定!$A$5:$A$14,0)),0))</f>
        <v/>
      </c>
      <c r="M353" s="21" t="str">
        <f aca="false">IF(A353="","",IF(L353&gt;0,K353/L353,0))</f>
        <v/>
      </c>
      <c r="N353" s="21" t="str">
        <f aca="false">IF(OR(A353="",H353=""),"",IF(J353&gt;0,(H353-J353)/J353,0))</f>
        <v/>
      </c>
      <c r="O353" s="22" t="str">
        <f aca="false">IF(OR(A353="",H353=""),"",IF(H353&lt;J353,"⚠ 低于标示",""))</f>
        <v/>
      </c>
      <c r="P353" s="19" t="n">
        <f aca="false">IF(OR(A353="",H353=""),0,G353*(H353-J353))</f>
        <v>0</v>
      </c>
      <c r="Q353" s="19" t="n">
        <f aca="false">IF(OR(A353="",H353=""),0,G353*J353)</f>
        <v>0</v>
      </c>
      <c r="R353" s="19" t="n">
        <f aca="false">IF(OR(A353="",H353=""),0,IF(H353&lt;J353,1,0))</f>
        <v>0</v>
      </c>
    </row>
    <row r="354" customFormat="false" ht="15" hidden="false" customHeight="false" outlineLevel="0" collapsed="false">
      <c r="A354" s="16"/>
      <c r="B354" s="17"/>
      <c r="C354" s="18"/>
      <c r="D354" s="17"/>
      <c r="E354" s="17"/>
      <c r="F354" s="17"/>
      <c r="G354" s="17"/>
      <c r="H354" s="17"/>
      <c r="I354" s="19" t="str">
        <f aca="false">IF(A354="","",D354*(E354-F354))</f>
        <v/>
      </c>
      <c r="J354" s="19" t="str">
        <f aca="false">IF(A354="","",IFERROR(INDEX(设定!$B$5:$B$14,MATCH(C354,设定!$A$5:$A$14,0)),0))</f>
        <v/>
      </c>
      <c r="K354" s="20" t="str">
        <f aca="false">IF(A354="","",G354*J354/1000)</f>
        <v/>
      </c>
      <c r="L354" s="20" t="str">
        <f aca="false">IF(A354="","",I354*IFERROR(INDEX(设定!$C$5:$C$14,MATCH(C354,设定!$A$5:$A$14,0)),0))</f>
        <v/>
      </c>
      <c r="M354" s="21" t="str">
        <f aca="false">IF(A354="","",IF(L354&gt;0,K354/L354,0))</f>
        <v/>
      </c>
      <c r="N354" s="21" t="str">
        <f aca="false">IF(OR(A354="",H354=""),"",IF(J354&gt;0,(H354-J354)/J354,0))</f>
        <v/>
      </c>
      <c r="O354" s="22" t="str">
        <f aca="false">IF(OR(A354="",H354=""),"",IF(H354&lt;J354,"⚠ 低于标示",""))</f>
        <v/>
      </c>
      <c r="P354" s="19" t="n">
        <f aca="false">IF(OR(A354="",H354=""),0,G354*(H354-J354))</f>
        <v>0</v>
      </c>
      <c r="Q354" s="19" t="n">
        <f aca="false">IF(OR(A354="",H354=""),0,G354*J354)</f>
        <v>0</v>
      </c>
      <c r="R354" s="19" t="n">
        <f aca="false">IF(OR(A354="",H354=""),0,IF(H354&lt;J354,1,0))</f>
        <v>0</v>
      </c>
    </row>
    <row r="355" customFormat="false" ht="15" hidden="false" customHeight="false" outlineLevel="0" collapsed="false">
      <c r="A355" s="16"/>
      <c r="B355" s="17"/>
      <c r="C355" s="18"/>
      <c r="D355" s="17"/>
      <c r="E355" s="17"/>
      <c r="F355" s="17"/>
      <c r="G355" s="17"/>
      <c r="H355" s="17"/>
      <c r="I355" s="19" t="str">
        <f aca="false">IF(A355="","",D355*(E355-F355))</f>
        <v/>
      </c>
      <c r="J355" s="19" t="str">
        <f aca="false">IF(A355="","",IFERROR(INDEX(设定!$B$5:$B$14,MATCH(C355,设定!$A$5:$A$14,0)),0))</f>
        <v/>
      </c>
      <c r="K355" s="20" t="str">
        <f aca="false">IF(A355="","",G355*J355/1000)</f>
        <v/>
      </c>
      <c r="L355" s="20" t="str">
        <f aca="false">IF(A355="","",I355*IFERROR(INDEX(设定!$C$5:$C$14,MATCH(C355,设定!$A$5:$A$14,0)),0))</f>
        <v/>
      </c>
      <c r="M355" s="21" t="str">
        <f aca="false">IF(A355="","",IF(L355&gt;0,K355/L355,0))</f>
        <v/>
      </c>
      <c r="N355" s="21" t="str">
        <f aca="false">IF(OR(A355="",H355=""),"",IF(J355&gt;0,(H355-J355)/J355,0))</f>
        <v/>
      </c>
      <c r="O355" s="22" t="str">
        <f aca="false">IF(OR(A355="",H355=""),"",IF(H355&lt;J355,"⚠ 低于标示",""))</f>
        <v/>
      </c>
      <c r="P355" s="19" t="n">
        <f aca="false">IF(OR(A355="",H355=""),0,G355*(H355-J355))</f>
        <v>0</v>
      </c>
      <c r="Q355" s="19" t="n">
        <f aca="false">IF(OR(A355="",H355=""),0,G355*J355)</f>
        <v>0</v>
      </c>
      <c r="R355" s="19" t="n">
        <f aca="false">IF(OR(A355="",H355=""),0,IF(H355&lt;J355,1,0))</f>
        <v>0</v>
      </c>
    </row>
    <row r="356" customFormat="false" ht="15" hidden="false" customHeight="false" outlineLevel="0" collapsed="false">
      <c r="A356" s="16"/>
      <c r="B356" s="17"/>
      <c r="C356" s="18"/>
      <c r="D356" s="17"/>
      <c r="E356" s="17"/>
      <c r="F356" s="17"/>
      <c r="G356" s="17"/>
      <c r="H356" s="17"/>
      <c r="I356" s="19" t="str">
        <f aca="false">IF(A356="","",D356*(E356-F356))</f>
        <v/>
      </c>
      <c r="J356" s="19" t="str">
        <f aca="false">IF(A356="","",IFERROR(INDEX(设定!$B$5:$B$14,MATCH(C356,设定!$A$5:$A$14,0)),0))</f>
        <v/>
      </c>
      <c r="K356" s="20" t="str">
        <f aca="false">IF(A356="","",G356*J356/1000)</f>
        <v/>
      </c>
      <c r="L356" s="20" t="str">
        <f aca="false">IF(A356="","",I356*IFERROR(INDEX(设定!$C$5:$C$14,MATCH(C356,设定!$A$5:$A$14,0)),0))</f>
        <v/>
      </c>
      <c r="M356" s="21" t="str">
        <f aca="false">IF(A356="","",IF(L356&gt;0,K356/L356,0))</f>
        <v/>
      </c>
      <c r="N356" s="21" t="str">
        <f aca="false">IF(OR(A356="",H356=""),"",IF(J356&gt;0,(H356-J356)/J356,0))</f>
        <v/>
      </c>
      <c r="O356" s="22" t="str">
        <f aca="false">IF(OR(A356="",H356=""),"",IF(H356&lt;J356,"⚠ 低于标示",""))</f>
        <v/>
      </c>
      <c r="P356" s="19" t="n">
        <f aca="false">IF(OR(A356="",H356=""),0,G356*(H356-J356))</f>
        <v>0</v>
      </c>
      <c r="Q356" s="19" t="n">
        <f aca="false">IF(OR(A356="",H356=""),0,G356*J356)</f>
        <v>0</v>
      </c>
      <c r="R356" s="19" t="n">
        <f aca="false">IF(OR(A356="",H356=""),0,IF(H356&lt;J356,1,0))</f>
        <v>0</v>
      </c>
    </row>
    <row r="357" customFormat="false" ht="15" hidden="false" customHeight="false" outlineLevel="0" collapsed="false">
      <c r="A357" s="16"/>
      <c r="B357" s="17"/>
      <c r="C357" s="18"/>
      <c r="D357" s="17"/>
      <c r="E357" s="17"/>
      <c r="F357" s="17"/>
      <c r="G357" s="17"/>
      <c r="H357" s="17"/>
      <c r="I357" s="19" t="str">
        <f aca="false">IF(A357="","",D357*(E357-F357))</f>
        <v/>
      </c>
      <c r="J357" s="19" t="str">
        <f aca="false">IF(A357="","",IFERROR(INDEX(设定!$B$5:$B$14,MATCH(C357,设定!$A$5:$A$14,0)),0))</f>
        <v/>
      </c>
      <c r="K357" s="20" t="str">
        <f aca="false">IF(A357="","",G357*J357/1000)</f>
        <v/>
      </c>
      <c r="L357" s="20" t="str">
        <f aca="false">IF(A357="","",I357*IFERROR(INDEX(设定!$C$5:$C$14,MATCH(C357,设定!$A$5:$A$14,0)),0))</f>
        <v/>
      </c>
      <c r="M357" s="21" t="str">
        <f aca="false">IF(A357="","",IF(L357&gt;0,K357/L357,0))</f>
        <v/>
      </c>
      <c r="N357" s="21" t="str">
        <f aca="false">IF(OR(A357="",H357=""),"",IF(J357&gt;0,(H357-J357)/J357,0))</f>
        <v/>
      </c>
      <c r="O357" s="22" t="str">
        <f aca="false">IF(OR(A357="",H357=""),"",IF(H357&lt;J357,"⚠ 低于标示",""))</f>
        <v/>
      </c>
      <c r="P357" s="19" t="n">
        <f aca="false">IF(OR(A357="",H357=""),0,G357*(H357-J357))</f>
        <v>0</v>
      </c>
      <c r="Q357" s="19" t="n">
        <f aca="false">IF(OR(A357="",H357=""),0,G357*J357)</f>
        <v>0</v>
      </c>
      <c r="R357" s="19" t="n">
        <f aca="false">IF(OR(A357="",H357=""),0,IF(H357&lt;J357,1,0))</f>
        <v>0</v>
      </c>
    </row>
    <row r="358" customFormat="false" ht="15" hidden="false" customHeight="false" outlineLevel="0" collapsed="false">
      <c r="A358" s="16"/>
      <c r="B358" s="17"/>
      <c r="C358" s="18"/>
      <c r="D358" s="17"/>
      <c r="E358" s="17"/>
      <c r="F358" s="17"/>
      <c r="G358" s="17"/>
      <c r="H358" s="17"/>
      <c r="I358" s="19" t="str">
        <f aca="false">IF(A358="","",D358*(E358-F358))</f>
        <v/>
      </c>
      <c r="J358" s="19" t="str">
        <f aca="false">IF(A358="","",IFERROR(INDEX(设定!$B$5:$B$14,MATCH(C358,设定!$A$5:$A$14,0)),0))</f>
        <v/>
      </c>
      <c r="K358" s="20" t="str">
        <f aca="false">IF(A358="","",G358*J358/1000)</f>
        <v/>
      </c>
      <c r="L358" s="20" t="str">
        <f aca="false">IF(A358="","",I358*IFERROR(INDEX(设定!$C$5:$C$14,MATCH(C358,设定!$A$5:$A$14,0)),0))</f>
        <v/>
      </c>
      <c r="M358" s="21" t="str">
        <f aca="false">IF(A358="","",IF(L358&gt;0,K358/L358,0))</f>
        <v/>
      </c>
      <c r="N358" s="21" t="str">
        <f aca="false">IF(OR(A358="",H358=""),"",IF(J358&gt;0,(H358-J358)/J358,0))</f>
        <v/>
      </c>
      <c r="O358" s="22" t="str">
        <f aca="false">IF(OR(A358="",H358=""),"",IF(H358&lt;J358,"⚠ 低于标示",""))</f>
        <v/>
      </c>
      <c r="P358" s="19" t="n">
        <f aca="false">IF(OR(A358="",H358=""),0,G358*(H358-J358))</f>
        <v>0</v>
      </c>
      <c r="Q358" s="19" t="n">
        <f aca="false">IF(OR(A358="",H358=""),0,G358*J358)</f>
        <v>0</v>
      </c>
      <c r="R358" s="19" t="n">
        <f aca="false">IF(OR(A358="",H358=""),0,IF(H358&lt;J358,1,0))</f>
        <v>0</v>
      </c>
    </row>
    <row r="359" customFormat="false" ht="15" hidden="false" customHeight="false" outlineLevel="0" collapsed="false">
      <c r="A359" s="16"/>
      <c r="B359" s="17"/>
      <c r="C359" s="18"/>
      <c r="D359" s="17"/>
      <c r="E359" s="17"/>
      <c r="F359" s="17"/>
      <c r="G359" s="17"/>
      <c r="H359" s="17"/>
      <c r="I359" s="19" t="str">
        <f aca="false">IF(A359="","",D359*(E359-F359))</f>
        <v/>
      </c>
      <c r="J359" s="19" t="str">
        <f aca="false">IF(A359="","",IFERROR(INDEX(设定!$B$5:$B$14,MATCH(C359,设定!$A$5:$A$14,0)),0))</f>
        <v/>
      </c>
      <c r="K359" s="20" t="str">
        <f aca="false">IF(A359="","",G359*J359/1000)</f>
        <v/>
      </c>
      <c r="L359" s="20" t="str">
        <f aca="false">IF(A359="","",I359*IFERROR(INDEX(设定!$C$5:$C$14,MATCH(C359,设定!$A$5:$A$14,0)),0))</f>
        <v/>
      </c>
      <c r="M359" s="21" t="str">
        <f aca="false">IF(A359="","",IF(L359&gt;0,K359/L359,0))</f>
        <v/>
      </c>
      <c r="N359" s="21" t="str">
        <f aca="false">IF(OR(A359="",H359=""),"",IF(J359&gt;0,(H359-J359)/J359,0))</f>
        <v/>
      </c>
      <c r="O359" s="22" t="str">
        <f aca="false">IF(OR(A359="",H359=""),"",IF(H359&lt;J359,"⚠ 低于标示",""))</f>
        <v/>
      </c>
      <c r="P359" s="19" t="n">
        <f aca="false">IF(OR(A359="",H359=""),0,G359*(H359-J359))</f>
        <v>0</v>
      </c>
      <c r="Q359" s="19" t="n">
        <f aca="false">IF(OR(A359="",H359=""),0,G359*J359)</f>
        <v>0</v>
      </c>
      <c r="R359" s="19" t="n">
        <f aca="false">IF(OR(A359="",H359=""),0,IF(H359&lt;J359,1,0))</f>
        <v>0</v>
      </c>
    </row>
    <row r="360" customFormat="false" ht="15" hidden="false" customHeight="false" outlineLevel="0" collapsed="false">
      <c r="A360" s="16"/>
      <c r="B360" s="17"/>
      <c r="C360" s="18"/>
      <c r="D360" s="17"/>
      <c r="E360" s="17"/>
      <c r="F360" s="17"/>
      <c r="G360" s="17"/>
      <c r="H360" s="17"/>
      <c r="I360" s="19" t="str">
        <f aca="false">IF(A360="","",D360*(E360-F360))</f>
        <v/>
      </c>
      <c r="J360" s="19" t="str">
        <f aca="false">IF(A360="","",IFERROR(INDEX(设定!$B$5:$B$14,MATCH(C360,设定!$A$5:$A$14,0)),0))</f>
        <v/>
      </c>
      <c r="K360" s="20" t="str">
        <f aca="false">IF(A360="","",G360*J360/1000)</f>
        <v/>
      </c>
      <c r="L360" s="20" t="str">
        <f aca="false">IF(A360="","",I360*IFERROR(INDEX(设定!$C$5:$C$14,MATCH(C360,设定!$A$5:$A$14,0)),0))</f>
        <v/>
      </c>
      <c r="M360" s="21" t="str">
        <f aca="false">IF(A360="","",IF(L360&gt;0,K360/L360,0))</f>
        <v/>
      </c>
      <c r="N360" s="21" t="str">
        <f aca="false">IF(OR(A360="",H360=""),"",IF(J360&gt;0,(H360-J360)/J360,0))</f>
        <v/>
      </c>
      <c r="O360" s="22" t="str">
        <f aca="false">IF(OR(A360="",H360=""),"",IF(H360&lt;J360,"⚠ 低于标示",""))</f>
        <v/>
      </c>
      <c r="P360" s="19" t="n">
        <f aca="false">IF(OR(A360="",H360=""),0,G360*(H360-J360))</f>
        <v>0</v>
      </c>
      <c r="Q360" s="19" t="n">
        <f aca="false">IF(OR(A360="",H360=""),0,G360*J360)</f>
        <v>0</v>
      </c>
      <c r="R360" s="19" t="n">
        <f aca="false">IF(OR(A360="",H360=""),0,IF(H360&lt;J360,1,0))</f>
        <v>0</v>
      </c>
    </row>
    <row r="361" customFormat="false" ht="15" hidden="false" customHeight="false" outlineLevel="0" collapsed="false">
      <c r="A361" s="16"/>
      <c r="B361" s="17"/>
      <c r="C361" s="18"/>
      <c r="D361" s="17"/>
      <c r="E361" s="17"/>
      <c r="F361" s="17"/>
      <c r="G361" s="17"/>
      <c r="H361" s="17"/>
      <c r="I361" s="19" t="str">
        <f aca="false">IF(A361="","",D361*(E361-F361))</f>
        <v/>
      </c>
      <c r="J361" s="19" t="str">
        <f aca="false">IF(A361="","",IFERROR(INDEX(设定!$B$5:$B$14,MATCH(C361,设定!$A$5:$A$14,0)),0))</f>
        <v/>
      </c>
      <c r="K361" s="20" t="str">
        <f aca="false">IF(A361="","",G361*J361/1000)</f>
        <v/>
      </c>
      <c r="L361" s="20" t="str">
        <f aca="false">IF(A361="","",I361*IFERROR(INDEX(设定!$C$5:$C$14,MATCH(C361,设定!$A$5:$A$14,0)),0))</f>
        <v/>
      </c>
      <c r="M361" s="21" t="str">
        <f aca="false">IF(A361="","",IF(L361&gt;0,K361/L361,0))</f>
        <v/>
      </c>
      <c r="N361" s="21" t="str">
        <f aca="false">IF(OR(A361="",H361=""),"",IF(J361&gt;0,(H361-J361)/J361,0))</f>
        <v/>
      </c>
      <c r="O361" s="22" t="str">
        <f aca="false">IF(OR(A361="",H361=""),"",IF(H361&lt;J361,"⚠ 低于标示",""))</f>
        <v/>
      </c>
      <c r="P361" s="19" t="n">
        <f aca="false">IF(OR(A361="",H361=""),0,G361*(H361-J361))</f>
        <v>0</v>
      </c>
      <c r="Q361" s="19" t="n">
        <f aca="false">IF(OR(A361="",H361=""),0,G361*J361)</f>
        <v>0</v>
      </c>
      <c r="R361" s="19" t="n">
        <f aca="false">IF(OR(A361="",H361=""),0,IF(H361&lt;J361,1,0))</f>
        <v>0</v>
      </c>
    </row>
    <row r="362" customFormat="false" ht="15" hidden="false" customHeight="false" outlineLevel="0" collapsed="false">
      <c r="A362" s="16"/>
      <c r="B362" s="17"/>
      <c r="C362" s="18"/>
      <c r="D362" s="17"/>
      <c r="E362" s="17"/>
      <c r="F362" s="17"/>
      <c r="G362" s="17"/>
      <c r="H362" s="17"/>
      <c r="I362" s="19" t="str">
        <f aca="false">IF(A362="","",D362*(E362-F362))</f>
        <v/>
      </c>
      <c r="J362" s="19" t="str">
        <f aca="false">IF(A362="","",IFERROR(INDEX(设定!$B$5:$B$14,MATCH(C362,设定!$A$5:$A$14,0)),0))</f>
        <v/>
      </c>
      <c r="K362" s="20" t="str">
        <f aca="false">IF(A362="","",G362*J362/1000)</f>
        <v/>
      </c>
      <c r="L362" s="20" t="str">
        <f aca="false">IF(A362="","",I362*IFERROR(INDEX(设定!$C$5:$C$14,MATCH(C362,设定!$A$5:$A$14,0)),0))</f>
        <v/>
      </c>
      <c r="M362" s="21" t="str">
        <f aca="false">IF(A362="","",IF(L362&gt;0,K362/L362,0))</f>
        <v/>
      </c>
      <c r="N362" s="21" t="str">
        <f aca="false">IF(OR(A362="",H362=""),"",IF(J362&gt;0,(H362-J362)/J362,0))</f>
        <v/>
      </c>
      <c r="O362" s="22" t="str">
        <f aca="false">IF(OR(A362="",H362=""),"",IF(H362&lt;J362,"⚠ 低于标示",""))</f>
        <v/>
      </c>
      <c r="P362" s="19" t="n">
        <f aca="false">IF(OR(A362="",H362=""),0,G362*(H362-J362))</f>
        <v>0</v>
      </c>
      <c r="Q362" s="19" t="n">
        <f aca="false">IF(OR(A362="",H362=""),0,G362*J362)</f>
        <v>0</v>
      </c>
      <c r="R362" s="19" t="n">
        <f aca="false">IF(OR(A362="",H362=""),0,IF(H362&lt;J362,1,0))</f>
        <v>0</v>
      </c>
    </row>
    <row r="363" customFormat="false" ht="15" hidden="false" customHeight="false" outlineLevel="0" collapsed="false">
      <c r="A363" s="16"/>
      <c r="B363" s="17"/>
      <c r="C363" s="18"/>
      <c r="D363" s="17"/>
      <c r="E363" s="17"/>
      <c r="F363" s="17"/>
      <c r="G363" s="17"/>
      <c r="H363" s="17"/>
      <c r="I363" s="19" t="str">
        <f aca="false">IF(A363="","",D363*(E363-F363))</f>
        <v/>
      </c>
      <c r="J363" s="19" t="str">
        <f aca="false">IF(A363="","",IFERROR(INDEX(设定!$B$5:$B$14,MATCH(C363,设定!$A$5:$A$14,0)),0))</f>
        <v/>
      </c>
      <c r="K363" s="20" t="str">
        <f aca="false">IF(A363="","",G363*J363/1000)</f>
        <v/>
      </c>
      <c r="L363" s="20" t="str">
        <f aca="false">IF(A363="","",I363*IFERROR(INDEX(设定!$C$5:$C$14,MATCH(C363,设定!$A$5:$A$14,0)),0))</f>
        <v/>
      </c>
      <c r="M363" s="21" t="str">
        <f aca="false">IF(A363="","",IF(L363&gt;0,K363/L363,0))</f>
        <v/>
      </c>
      <c r="N363" s="21" t="str">
        <f aca="false">IF(OR(A363="",H363=""),"",IF(J363&gt;0,(H363-J363)/J363,0))</f>
        <v/>
      </c>
      <c r="O363" s="22" t="str">
        <f aca="false">IF(OR(A363="",H363=""),"",IF(H363&lt;J363,"⚠ 低于标示",""))</f>
        <v/>
      </c>
      <c r="P363" s="19" t="n">
        <f aca="false">IF(OR(A363="",H363=""),0,G363*(H363-J363))</f>
        <v>0</v>
      </c>
      <c r="Q363" s="19" t="n">
        <f aca="false">IF(OR(A363="",H363=""),0,G363*J363)</f>
        <v>0</v>
      </c>
      <c r="R363" s="19" t="n">
        <f aca="false">IF(OR(A363="",H363=""),0,IF(H363&lt;J363,1,0))</f>
        <v>0</v>
      </c>
    </row>
    <row r="364" customFormat="false" ht="15" hidden="false" customHeight="false" outlineLevel="0" collapsed="false">
      <c r="A364" s="16"/>
      <c r="B364" s="17"/>
      <c r="C364" s="18"/>
      <c r="D364" s="17"/>
      <c r="E364" s="17"/>
      <c r="F364" s="17"/>
      <c r="G364" s="17"/>
      <c r="H364" s="17"/>
      <c r="I364" s="19" t="str">
        <f aca="false">IF(A364="","",D364*(E364-F364))</f>
        <v/>
      </c>
      <c r="J364" s="19" t="str">
        <f aca="false">IF(A364="","",IFERROR(INDEX(设定!$B$5:$B$14,MATCH(C364,设定!$A$5:$A$14,0)),0))</f>
        <v/>
      </c>
      <c r="K364" s="20" t="str">
        <f aca="false">IF(A364="","",G364*J364/1000)</f>
        <v/>
      </c>
      <c r="L364" s="20" t="str">
        <f aca="false">IF(A364="","",I364*IFERROR(INDEX(设定!$C$5:$C$14,MATCH(C364,设定!$A$5:$A$14,0)),0))</f>
        <v/>
      </c>
      <c r="M364" s="21" t="str">
        <f aca="false">IF(A364="","",IF(L364&gt;0,K364/L364,0))</f>
        <v/>
      </c>
      <c r="N364" s="21" t="str">
        <f aca="false">IF(OR(A364="",H364=""),"",IF(J364&gt;0,(H364-J364)/J364,0))</f>
        <v/>
      </c>
      <c r="O364" s="22" t="str">
        <f aca="false">IF(OR(A364="",H364=""),"",IF(H364&lt;J364,"⚠ 低于标示",""))</f>
        <v/>
      </c>
      <c r="P364" s="19" t="n">
        <f aca="false">IF(OR(A364="",H364=""),0,G364*(H364-J364))</f>
        <v>0</v>
      </c>
      <c r="Q364" s="19" t="n">
        <f aca="false">IF(OR(A364="",H364=""),0,G364*J364)</f>
        <v>0</v>
      </c>
      <c r="R364" s="19" t="n">
        <f aca="false">IF(OR(A364="",H364=""),0,IF(H364&lt;J364,1,0))</f>
        <v>0</v>
      </c>
    </row>
    <row r="365" customFormat="false" ht="15" hidden="false" customHeight="false" outlineLevel="0" collapsed="false">
      <c r="A365" s="16"/>
      <c r="B365" s="17"/>
      <c r="C365" s="18"/>
      <c r="D365" s="17"/>
      <c r="E365" s="17"/>
      <c r="F365" s="17"/>
      <c r="G365" s="17"/>
      <c r="H365" s="17"/>
      <c r="I365" s="19" t="str">
        <f aca="false">IF(A365="","",D365*(E365-F365))</f>
        <v/>
      </c>
      <c r="J365" s="19" t="str">
        <f aca="false">IF(A365="","",IFERROR(INDEX(设定!$B$5:$B$14,MATCH(C365,设定!$A$5:$A$14,0)),0))</f>
        <v/>
      </c>
      <c r="K365" s="20" t="str">
        <f aca="false">IF(A365="","",G365*J365/1000)</f>
        <v/>
      </c>
      <c r="L365" s="20" t="str">
        <f aca="false">IF(A365="","",I365*IFERROR(INDEX(设定!$C$5:$C$14,MATCH(C365,设定!$A$5:$A$14,0)),0))</f>
        <v/>
      </c>
      <c r="M365" s="21" t="str">
        <f aca="false">IF(A365="","",IF(L365&gt;0,K365/L365,0))</f>
        <v/>
      </c>
      <c r="N365" s="21" t="str">
        <f aca="false">IF(OR(A365="",H365=""),"",IF(J365&gt;0,(H365-J365)/J365,0))</f>
        <v/>
      </c>
      <c r="O365" s="22" t="str">
        <f aca="false">IF(OR(A365="",H365=""),"",IF(H365&lt;J365,"⚠ 低于标示",""))</f>
        <v/>
      </c>
      <c r="P365" s="19" t="n">
        <f aca="false">IF(OR(A365="",H365=""),0,G365*(H365-J365))</f>
        <v>0</v>
      </c>
      <c r="Q365" s="19" t="n">
        <f aca="false">IF(OR(A365="",H365=""),0,G365*J365)</f>
        <v>0</v>
      </c>
      <c r="R365" s="19" t="n">
        <f aca="false">IF(OR(A365="",H365=""),0,IF(H365&lt;J365,1,0))</f>
        <v>0</v>
      </c>
    </row>
    <row r="366" customFormat="false" ht="15" hidden="false" customHeight="false" outlineLevel="0" collapsed="false">
      <c r="A366" s="16"/>
      <c r="B366" s="17"/>
      <c r="C366" s="18"/>
      <c r="D366" s="17"/>
      <c r="E366" s="17"/>
      <c r="F366" s="17"/>
      <c r="G366" s="17"/>
      <c r="H366" s="17"/>
      <c r="I366" s="19" t="str">
        <f aca="false">IF(A366="","",D366*(E366-F366))</f>
        <v/>
      </c>
      <c r="J366" s="19" t="str">
        <f aca="false">IF(A366="","",IFERROR(INDEX(设定!$B$5:$B$14,MATCH(C366,设定!$A$5:$A$14,0)),0))</f>
        <v/>
      </c>
      <c r="K366" s="20" t="str">
        <f aca="false">IF(A366="","",G366*J366/1000)</f>
        <v/>
      </c>
      <c r="L366" s="20" t="str">
        <f aca="false">IF(A366="","",I366*IFERROR(INDEX(设定!$C$5:$C$14,MATCH(C366,设定!$A$5:$A$14,0)),0))</f>
        <v/>
      </c>
      <c r="M366" s="21" t="str">
        <f aca="false">IF(A366="","",IF(L366&gt;0,K366/L366,0))</f>
        <v/>
      </c>
      <c r="N366" s="21" t="str">
        <f aca="false">IF(OR(A366="",H366=""),"",IF(J366&gt;0,(H366-J366)/J366,0))</f>
        <v/>
      </c>
      <c r="O366" s="22" t="str">
        <f aca="false">IF(OR(A366="",H366=""),"",IF(H366&lt;J366,"⚠ 低于标示",""))</f>
        <v/>
      </c>
      <c r="P366" s="19" t="n">
        <f aca="false">IF(OR(A366="",H366=""),0,G366*(H366-J366))</f>
        <v>0</v>
      </c>
      <c r="Q366" s="19" t="n">
        <f aca="false">IF(OR(A366="",H366=""),0,G366*J366)</f>
        <v>0</v>
      </c>
      <c r="R366" s="19" t="n">
        <f aca="false">IF(OR(A366="",H366=""),0,IF(H366&lt;J366,1,0))</f>
        <v>0</v>
      </c>
    </row>
    <row r="367" customFormat="false" ht="15" hidden="false" customHeight="false" outlineLevel="0" collapsed="false">
      <c r="A367" s="16"/>
      <c r="B367" s="17"/>
      <c r="C367" s="18"/>
      <c r="D367" s="17"/>
      <c r="E367" s="17"/>
      <c r="F367" s="17"/>
      <c r="G367" s="17"/>
      <c r="H367" s="17"/>
      <c r="I367" s="19" t="str">
        <f aca="false">IF(A367="","",D367*(E367-F367))</f>
        <v/>
      </c>
      <c r="J367" s="19" t="str">
        <f aca="false">IF(A367="","",IFERROR(INDEX(设定!$B$5:$B$14,MATCH(C367,设定!$A$5:$A$14,0)),0))</f>
        <v/>
      </c>
      <c r="K367" s="20" t="str">
        <f aca="false">IF(A367="","",G367*J367/1000)</f>
        <v/>
      </c>
      <c r="L367" s="20" t="str">
        <f aca="false">IF(A367="","",I367*IFERROR(INDEX(设定!$C$5:$C$14,MATCH(C367,设定!$A$5:$A$14,0)),0))</f>
        <v/>
      </c>
      <c r="M367" s="21" t="str">
        <f aca="false">IF(A367="","",IF(L367&gt;0,K367/L367,0))</f>
        <v/>
      </c>
      <c r="N367" s="21" t="str">
        <f aca="false">IF(OR(A367="",H367=""),"",IF(J367&gt;0,(H367-J367)/J367,0))</f>
        <v/>
      </c>
      <c r="O367" s="22" t="str">
        <f aca="false">IF(OR(A367="",H367=""),"",IF(H367&lt;J367,"⚠ 低于标示",""))</f>
        <v/>
      </c>
      <c r="P367" s="19" t="n">
        <f aca="false">IF(OR(A367="",H367=""),0,G367*(H367-J367))</f>
        <v>0</v>
      </c>
      <c r="Q367" s="19" t="n">
        <f aca="false">IF(OR(A367="",H367=""),0,G367*J367)</f>
        <v>0</v>
      </c>
      <c r="R367" s="19" t="n">
        <f aca="false">IF(OR(A367="",H367=""),0,IF(H367&lt;J367,1,0))</f>
        <v>0</v>
      </c>
    </row>
    <row r="368" customFormat="false" ht="15" hidden="false" customHeight="false" outlineLevel="0" collapsed="false">
      <c r="A368" s="16"/>
      <c r="B368" s="17"/>
      <c r="C368" s="18"/>
      <c r="D368" s="17"/>
      <c r="E368" s="17"/>
      <c r="F368" s="17"/>
      <c r="G368" s="17"/>
      <c r="H368" s="17"/>
      <c r="I368" s="19" t="str">
        <f aca="false">IF(A368="","",D368*(E368-F368))</f>
        <v/>
      </c>
      <c r="J368" s="19" t="str">
        <f aca="false">IF(A368="","",IFERROR(INDEX(设定!$B$5:$B$14,MATCH(C368,设定!$A$5:$A$14,0)),0))</f>
        <v/>
      </c>
      <c r="K368" s="20" t="str">
        <f aca="false">IF(A368="","",G368*J368/1000)</f>
        <v/>
      </c>
      <c r="L368" s="20" t="str">
        <f aca="false">IF(A368="","",I368*IFERROR(INDEX(设定!$C$5:$C$14,MATCH(C368,设定!$A$5:$A$14,0)),0))</f>
        <v/>
      </c>
      <c r="M368" s="21" t="str">
        <f aca="false">IF(A368="","",IF(L368&gt;0,K368/L368,0))</f>
        <v/>
      </c>
      <c r="N368" s="21" t="str">
        <f aca="false">IF(OR(A368="",H368=""),"",IF(J368&gt;0,(H368-J368)/J368,0))</f>
        <v/>
      </c>
      <c r="O368" s="22" t="str">
        <f aca="false">IF(OR(A368="",H368=""),"",IF(H368&lt;J368,"⚠ 低于标示",""))</f>
        <v/>
      </c>
      <c r="P368" s="19" t="n">
        <f aca="false">IF(OR(A368="",H368=""),0,G368*(H368-J368))</f>
        <v>0</v>
      </c>
      <c r="Q368" s="19" t="n">
        <f aca="false">IF(OR(A368="",H368=""),0,G368*J368)</f>
        <v>0</v>
      </c>
      <c r="R368" s="19" t="n">
        <f aca="false">IF(OR(A368="",H368=""),0,IF(H368&lt;J368,1,0))</f>
        <v>0</v>
      </c>
    </row>
    <row r="369" customFormat="false" ht="15" hidden="false" customHeight="false" outlineLevel="0" collapsed="false">
      <c r="A369" s="16"/>
      <c r="B369" s="17"/>
      <c r="C369" s="18"/>
      <c r="D369" s="17"/>
      <c r="E369" s="17"/>
      <c r="F369" s="17"/>
      <c r="G369" s="17"/>
      <c r="H369" s="17"/>
      <c r="I369" s="19" t="str">
        <f aca="false">IF(A369="","",D369*(E369-F369))</f>
        <v/>
      </c>
      <c r="J369" s="19" t="str">
        <f aca="false">IF(A369="","",IFERROR(INDEX(设定!$B$5:$B$14,MATCH(C369,设定!$A$5:$A$14,0)),0))</f>
        <v/>
      </c>
      <c r="K369" s="20" t="str">
        <f aca="false">IF(A369="","",G369*J369/1000)</f>
        <v/>
      </c>
      <c r="L369" s="20" t="str">
        <f aca="false">IF(A369="","",I369*IFERROR(INDEX(设定!$C$5:$C$14,MATCH(C369,设定!$A$5:$A$14,0)),0))</f>
        <v/>
      </c>
      <c r="M369" s="21" t="str">
        <f aca="false">IF(A369="","",IF(L369&gt;0,K369/L369,0))</f>
        <v/>
      </c>
      <c r="N369" s="21" t="str">
        <f aca="false">IF(OR(A369="",H369=""),"",IF(J369&gt;0,(H369-J369)/J369,0))</f>
        <v/>
      </c>
      <c r="O369" s="22" t="str">
        <f aca="false">IF(OR(A369="",H369=""),"",IF(H369&lt;J369,"⚠ 低于标示",""))</f>
        <v/>
      </c>
      <c r="P369" s="19" t="n">
        <f aca="false">IF(OR(A369="",H369=""),0,G369*(H369-J369))</f>
        <v>0</v>
      </c>
      <c r="Q369" s="19" t="n">
        <f aca="false">IF(OR(A369="",H369=""),0,G369*J369)</f>
        <v>0</v>
      </c>
      <c r="R369" s="19" t="n">
        <f aca="false">IF(OR(A369="",H369=""),0,IF(H369&lt;J369,1,0))</f>
        <v>0</v>
      </c>
    </row>
    <row r="370" customFormat="false" ht="15" hidden="false" customHeight="false" outlineLevel="0" collapsed="false">
      <c r="A370" s="16"/>
      <c r="B370" s="17"/>
      <c r="C370" s="18"/>
      <c r="D370" s="17"/>
      <c r="E370" s="17"/>
      <c r="F370" s="17"/>
      <c r="G370" s="17"/>
      <c r="H370" s="17"/>
      <c r="I370" s="19" t="str">
        <f aca="false">IF(A370="","",D370*(E370-F370))</f>
        <v/>
      </c>
      <c r="J370" s="19" t="str">
        <f aca="false">IF(A370="","",IFERROR(INDEX(设定!$B$5:$B$14,MATCH(C370,设定!$A$5:$A$14,0)),0))</f>
        <v/>
      </c>
      <c r="K370" s="20" t="str">
        <f aca="false">IF(A370="","",G370*J370/1000)</f>
        <v/>
      </c>
      <c r="L370" s="20" t="str">
        <f aca="false">IF(A370="","",I370*IFERROR(INDEX(设定!$C$5:$C$14,MATCH(C370,设定!$A$5:$A$14,0)),0))</f>
        <v/>
      </c>
      <c r="M370" s="21" t="str">
        <f aca="false">IF(A370="","",IF(L370&gt;0,K370/L370,0))</f>
        <v/>
      </c>
      <c r="N370" s="21" t="str">
        <f aca="false">IF(OR(A370="",H370=""),"",IF(J370&gt;0,(H370-J370)/J370,0))</f>
        <v/>
      </c>
      <c r="O370" s="22" t="str">
        <f aca="false">IF(OR(A370="",H370=""),"",IF(H370&lt;J370,"⚠ 低于标示",""))</f>
        <v/>
      </c>
      <c r="P370" s="19" t="n">
        <f aca="false">IF(OR(A370="",H370=""),0,G370*(H370-J370))</f>
        <v>0</v>
      </c>
      <c r="Q370" s="19" t="n">
        <f aca="false">IF(OR(A370="",H370=""),0,G370*J370)</f>
        <v>0</v>
      </c>
      <c r="R370" s="19" t="n">
        <f aca="false">IF(OR(A370="",H370=""),0,IF(H370&lt;J370,1,0))</f>
        <v>0</v>
      </c>
    </row>
    <row r="371" customFormat="false" ht="15" hidden="false" customHeight="false" outlineLevel="0" collapsed="false">
      <c r="A371" s="16"/>
      <c r="B371" s="17"/>
      <c r="C371" s="18"/>
      <c r="D371" s="17"/>
      <c r="E371" s="17"/>
      <c r="F371" s="17"/>
      <c r="G371" s="17"/>
      <c r="H371" s="17"/>
      <c r="I371" s="19" t="str">
        <f aca="false">IF(A371="","",D371*(E371-F371))</f>
        <v/>
      </c>
      <c r="J371" s="19" t="str">
        <f aca="false">IF(A371="","",IFERROR(INDEX(设定!$B$5:$B$14,MATCH(C371,设定!$A$5:$A$14,0)),0))</f>
        <v/>
      </c>
      <c r="K371" s="20" t="str">
        <f aca="false">IF(A371="","",G371*J371/1000)</f>
        <v/>
      </c>
      <c r="L371" s="20" t="str">
        <f aca="false">IF(A371="","",I371*IFERROR(INDEX(设定!$C$5:$C$14,MATCH(C371,设定!$A$5:$A$14,0)),0))</f>
        <v/>
      </c>
      <c r="M371" s="21" t="str">
        <f aca="false">IF(A371="","",IF(L371&gt;0,K371/L371,0))</f>
        <v/>
      </c>
      <c r="N371" s="21" t="str">
        <f aca="false">IF(OR(A371="",H371=""),"",IF(J371&gt;0,(H371-J371)/J371,0))</f>
        <v/>
      </c>
      <c r="O371" s="22" t="str">
        <f aca="false">IF(OR(A371="",H371=""),"",IF(H371&lt;J371,"⚠ 低于标示",""))</f>
        <v/>
      </c>
      <c r="P371" s="19" t="n">
        <f aca="false">IF(OR(A371="",H371=""),0,G371*(H371-J371))</f>
        <v>0</v>
      </c>
      <c r="Q371" s="19" t="n">
        <f aca="false">IF(OR(A371="",H371=""),0,G371*J371)</f>
        <v>0</v>
      </c>
      <c r="R371" s="19" t="n">
        <f aca="false">IF(OR(A371="",H371=""),0,IF(H371&lt;J371,1,0))</f>
        <v>0</v>
      </c>
    </row>
    <row r="372" customFormat="false" ht="15" hidden="false" customHeight="false" outlineLevel="0" collapsed="false">
      <c r="A372" s="16"/>
      <c r="B372" s="17"/>
      <c r="C372" s="18"/>
      <c r="D372" s="17"/>
      <c r="E372" s="17"/>
      <c r="F372" s="17"/>
      <c r="G372" s="17"/>
      <c r="H372" s="17"/>
      <c r="I372" s="19" t="str">
        <f aca="false">IF(A372="","",D372*(E372-F372))</f>
        <v/>
      </c>
      <c r="J372" s="19" t="str">
        <f aca="false">IF(A372="","",IFERROR(INDEX(设定!$B$5:$B$14,MATCH(C372,设定!$A$5:$A$14,0)),0))</f>
        <v/>
      </c>
      <c r="K372" s="20" t="str">
        <f aca="false">IF(A372="","",G372*J372/1000)</f>
        <v/>
      </c>
      <c r="L372" s="20" t="str">
        <f aca="false">IF(A372="","",I372*IFERROR(INDEX(设定!$C$5:$C$14,MATCH(C372,设定!$A$5:$A$14,0)),0))</f>
        <v/>
      </c>
      <c r="M372" s="21" t="str">
        <f aca="false">IF(A372="","",IF(L372&gt;0,K372/L372,0))</f>
        <v/>
      </c>
      <c r="N372" s="21" t="str">
        <f aca="false">IF(OR(A372="",H372=""),"",IF(J372&gt;0,(H372-J372)/J372,0))</f>
        <v/>
      </c>
      <c r="O372" s="22" t="str">
        <f aca="false">IF(OR(A372="",H372=""),"",IF(H372&lt;J372,"⚠ 低于标示",""))</f>
        <v/>
      </c>
      <c r="P372" s="19" t="n">
        <f aca="false">IF(OR(A372="",H372=""),0,G372*(H372-J372))</f>
        <v>0</v>
      </c>
      <c r="Q372" s="19" t="n">
        <f aca="false">IF(OR(A372="",H372=""),0,G372*J372)</f>
        <v>0</v>
      </c>
      <c r="R372" s="19" t="n">
        <f aca="false">IF(OR(A372="",H372=""),0,IF(H372&lt;J372,1,0))</f>
        <v>0</v>
      </c>
    </row>
    <row r="373" customFormat="false" ht="15" hidden="false" customHeight="false" outlineLevel="0" collapsed="false">
      <c r="A373" s="16"/>
      <c r="B373" s="17"/>
      <c r="C373" s="18"/>
      <c r="D373" s="17"/>
      <c r="E373" s="17"/>
      <c r="F373" s="17"/>
      <c r="G373" s="17"/>
      <c r="H373" s="17"/>
      <c r="I373" s="19" t="str">
        <f aca="false">IF(A373="","",D373*(E373-F373))</f>
        <v/>
      </c>
      <c r="J373" s="19" t="str">
        <f aca="false">IF(A373="","",IFERROR(INDEX(设定!$B$5:$B$14,MATCH(C373,设定!$A$5:$A$14,0)),0))</f>
        <v/>
      </c>
      <c r="K373" s="20" t="str">
        <f aca="false">IF(A373="","",G373*J373/1000)</f>
        <v/>
      </c>
      <c r="L373" s="20" t="str">
        <f aca="false">IF(A373="","",I373*IFERROR(INDEX(设定!$C$5:$C$14,MATCH(C373,设定!$A$5:$A$14,0)),0))</f>
        <v/>
      </c>
      <c r="M373" s="21" t="str">
        <f aca="false">IF(A373="","",IF(L373&gt;0,K373/L373,0))</f>
        <v/>
      </c>
      <c r="N373" s="21" t="str">
        <f aca="false">IF(OR(A373="",H373=""),"",IF(J373&gt;0,(H373-J373)/J373,0))</f>
        <v/>
      </c>
      <c r="O373" s="22" t="str">
        <f aca="false">IF(OR(A373="",H373=""),"",IF(H373&lt;J373,"⚠ 低于标示",""))</f>
        <v/>
      </c>
      <c r="P373" s="19" t="n">
        <f aca="false">IF(OR(A373="",H373=""),0,G373*(H373-J373))</f>
        <v>0</v>
      </c>
      <c r="Q373" s="19" t="n">
        <f aca="false">IF(OR(A373="",H373=""),0,G373*J373)</f>
        <v>0</v>
      </c>
      <c r="R373" s="19" t="n">
        <f aca="false">IF(OR(A373="",H373=""),0,IF(H373&lt;J373,1,0))</f>
        <v>0</v>
      </c>
    </row>
    <row r="374" customFormat="false" ht="15" hidden="false" customHeight="false" outlineLevel="0" collapsed="false">
      <c r="A374" s="16"/>
      <c r="B374" s="17"/>
      <c r="C374" s="18"/>
      <c r="D374" s="17"/>
      <c r="E374" s="17"/>
      <c r="F374" s="17"/>
      <c r="G374" s="17"/>
      <c r="H374" s="17"/>
      <c r="I374" s="19" t="str">
        <f aca="false">IF(A374="","",D374*(E374-F374))</f>
        <v/>
      </c>
      <c r="J374" s="19" t="str">
        <f aca="false">IF(A374="","",IFERROR(INDEX(设定!$B$5:$B$14,MATCH(C374,设定!$A$5:$A$14,0)),0))</f>
        <v/>
      </c>
      <c r="K374" s="20" t="str">
        <f aca="false">IF(A374="","",G374*J374/1000)</f>
        <v/>
      </c>
      <c r="L374" s="20" t="str">
        <f aca="false">IF(A374="","",I374*IFERROR(INDEX(设定!$C$5:$C$14,MATCH(C374,设定!$A$5:$A$14,0)),0))</f>
        <v/>
      </c>
      <c r="M374" s="21" t="str">
        <f aca="false">IF(A374="","",IF(L374&gt;0,K374/L374,0))</f>
        <v/>
      </c>
      <c r="N374" s="21" t="str">
        <f aca="false">IF(OR(A374="",H374=""),"",IF(J374&gt;0,(H374-J374)/J374,0))</f>
        <v/>
      </c>
      <c r="O374" s="22" t="str">
        <f aca="false">IF(OR(A374="",H374=""),"",IF(H374&lt;J374,"⚠ 低于标示",""))</f>
        <v/>
      </c>
      <c r="P374" s="19" t="n">
        <f aca="false">IF(OR(A374="",H374=""),0,G374*(H374-J374))</f>
        <v>0</v>
      </c>
      <c r="Q374" s="19" t="n">
        <f aca="false">IF(OR(A374="",H374=""),0,G374*J374)</f>
        <v>0</v>
      </c>
      <c r="R374" s="19" t="n">
        <f aca="false">IF(OR(A374="",H374=""),0,IF(H374&lt;J374,1,0))</f>
        <v>0</v>
      </c>
    </row>
    <row r="375" customFormat="false" ht="15" hidden="false" customHeight="false" outlineLevel="0" collapsed="false">
      <c r="A375" s="16"/>
      <c r="B375" s="17"/>
      <c r="C375" s="18"/>
      <c r="D375" s="17"/>
      <c r="E375" s="17"/>
      <c r="F375" s="17"/>
      <c r="G375" s="17"/>
      <c r="H375" s="17"/>
      <c r="I375" s="19" t="str">
        <f aca="false">IF(A375="","",D375*(E375-F375))</f>
        <v/>
      </c>
      <c r="J375" s="19" t="str">
        <f aca="false">IF(A375="","",IFERROR(INDEX(设定!$B$5:$B$14,MATCH(C375,设定!$A$5:$A$14,0)),0))</f>
        <v/>
      </c>
      <c r="K375" s="20" t="str">
        <f aca="false">IF(A375="","",G375*J375/1000)</f>
        <v/>
      </c>
      <c r="L375" s="20" t="str">
        <f aca="false">IF(A375="","",I375*IFERROR(INDEX(设定!$C$5:$C$14,MATCH(C375,设定!$A$5:$A$14,0)),0))</f>
        <v/>
      </c>
      <c r="M375" s="21" t="str">
        <f aca="false">IF(A375="","",IF(L375&gt;0,K375/L375,0))</f>
        <v/>
      </c>
      <c r="N375" s="21" t="str">
        <f aca="false">IF(OR(A375="",H375=""),"",IF(J375&gt;0,(H375-J375)/J375,0))</f>
        <v/>
      </c>
      <c r="O375" s="22" t="str">
        <f aca="false">IF(OR(A375="",H375=""),"",IF(H375&lt;J375,"⚠ 低于标示",""))</f>
        <v/>
      </c>
      <c r="P375" s="19" t="n">
        <f aca="false">IF(OR(A375="",H375=""),0,G375*(H375-J375))</f>
        <v>0</v>
      </c>
      <c r="Q375" s="19" t="n">
        <f aca="false">IF(OR(A375="",H375=""),0,G375*J375)</f>
        <v>0</v>
      </c>
      <c r="R375" s="19" t="n">
        <f aca="false">IF(OR(A375="",H375=""),0,IF(H375&lt;J375,1,0))</f>
        <v>0</v>
      </c>
    </row>
    <row r="376" customFormat="false" ht="15" hidden="false" customHeight="false" outlineLevel="0" collapsed="false">
      <c r="A376" s="16"/>
      <c r="B376" s="17"/>
      <c r="C376" s="18"/>
      <c r="D376" s="17"/>
      <c r="E376" s="17"/>
      <c r="F376" s="17"/>
      <c r="G376" s="17"/>
      <c r="H376" s="17"/>
      <c r="I376" s="19" t="str">
        <f aca="false">IF(A376="","",D376*(E376-F376))</f>
        <v/>
      </c>
      <c r="J376" s="19" t="str">
        <f aca="false">IF(A376="","",IFERROR(INDEX(设定!$B$5:$B$14,MATCH(C376,设定!$A$5:$A$14,0)),0))</f>
        <v/>
      </c>
      <c r="K376" s="20" t="str">
        <f aca="false">IF(A376="","",G376*J376/1000)</f>
        <v/>
      </c>
      <c r="L376" s="20" t="str">
        <f aca="false">IF(A376="","",I376*IFERROR(INDEX(设定!$C$5:$C$14,MATCH(C376,设定!$A$5:$A$14,0)),0))</f>
        <v/>
      </c>
      <c r="M376" s="21" t="str">
        <f aca="false">IF(A376="","",IF(L376&gt;0,K376/L376,0))</f>
        <v/>
      </c>
      <c r="N376" s="21" t="str">
        <f aca="false">IF(OR(A376="",H376=""),"",IF(J376&gt;0,(H376-J376)/J376,0))</f>
        <v/>
      </c>
      <c r="O376" s="22" t="str">
        <f aca="false">IF(OR(A376="",H376=""),"",IF(H376&lt;J376,"⚠ 低于标示",""))</f>
        <v/>
      </c>
      <c r="P376" s="19" t="n">
        <f aca="false">IF(OR(A376="",H376=""),0,G376*(H376-J376))</f>
        <v>0</v>
      </c>
      <c r="Q376" s="19" t="n">
        <f aca="false">IF(OR(A376="",H376=""),0,G376*J376)</f>
        <v>0</v>
      </c>
      <c r="R376" s="19" t="n">
        <f aca="false">IF(OR(A376="",H376=""),0,IF(H376&lt;J376,1,0))</f>
        <v>0</v>
      </c>
    </row>
    <row r="377" customFormat="false" ht="15" hidden="false" customHeight="false" outlineLevel="0" collapsed="false">
      <c r="A377" s="16"/>
      <c r="B377" s="17"/>
      <c r="C377" s="18"/>
      <c r="D377" s="17"/>
      <c r="E377" s="17"/>
      <c r="F377" s="17"/>
      <c r="G377" s="17"/>
      <c r="H377" s="17"/>
      <c r="I377" s="19" t="str">
        <f aca="false">IF(A377="","",D377*(E377-F377))</f>
        <v/>
      </c>
      <c r="J377" s="19" t="str">
        <f aca="false">IF(A377="","",IFERROR(INDEX(设定!$B$5:$B$14,MATCH(C377,设定!$A$5:$A$14,0)),0))</f>
        <v/>
      </c>
      <c r="K377" s="20" t="str">
        <f aca="false">IF(A377="","",G377*J377/1000)</f>
        <v/>
      </c>
      <c r="L377" s="20" t="str">
        <f aca="false">IF(A377="","",I377*IFERROR(INDEX(设定!$C$5:$C$14,MATCH(C377,设定!$A$5:$A$14,0)),0))</f>
        <v/>
      </c>
      <c r="M377" s="21" t="str">
        <f aca="false">IF(A377="","",IF(L377&gt;0,K377/L377,0))</f>
        <v/>
      </c>
      <c r="N377" s="21" t="str">
        <f aca="false">IF(OR(A377="",H377=""),"",IF(J377&gt;0,(H377-J377)/J377,0))</f>
        <v/>
      </c>
      <c r="O377" s="22" t="str">
        <f aca="false">IF(OR(A377="",H377=""),"",IF(H377&lt;J377,"⚠ 低于标示",""))</f>
        <v/>
      </c>
      <c r="P377" s="19" t="n">
        <f aca="false">IF(OR(A377="",H377=""),0,G377*(H377-J377))</f>
        <v>0</v>
      </c>
      <c r="Q377" s="19" t="n">
        <f aca="false">IF(OR(A377="",H377=""),0,G377*J377)</f>
        <v>0</v>
      </c>
      <c r="R377" s="19" t="n">
        <f aca="false">IF(OR(A377="",H377=""),0,IF(H377&lt;J377,1,0))</f>
        <v>0</v>
      </c>
    </row>
    <row r="378" customFormat="false" ht="15" hidden="false" customHeight="false" outlineLevel="0" collapsed="false">
      <c r="A378" s="16"/>
      <c r="B378" s="17"/>
      <c r="C378" s="18"/>
      <c r="D378" s="17"/>
      <c r="E378" s="17"/>
      <c r="F378" s="17"/>
      <c r="G378" s="17"/>
      <c r="H378" s="17"/>
      <c r="I378" s="19" t="str">
        <f aca="false">IF(A378="","",D378*(E378-F378))</f>
        <v/>
      </c>
      <c r="J378" s="19" t="str">
        <f aca="false">IF(A378="","",IFERROR(INDEX(设定!$B$5:$B$14,MATCH(C378,设定!$A$5:$A$14,0)),0))</f>
        <v/>
      </c>
      <c r="K378" s="20" t="str">
        <f aca="false">IF(A378="","",G378*J378/1000)</f>
        <v/>
      </c>
      <c r="L378" s="20" t="str">
        <f aca="false">IF(A378="","",I378*IFERROR(INDEX(设定!$C$5:$C$14,MATCH(C378,设定!$A$5:$A$14,0)),0))</f>
        <v/>
      </c>
      <c r="M378" s="21" t="str">
        <f aca="false">IF(A378="","",IF(L378&gt;0,K378/L378,0))</f>
        <v/>
      </c>
      <c r="N378" s="21" t="str">
        <f aca="false">IF(OR(A378="",H378=""),"",IF(J378&gt;0,(H378-J378)/J378,0))</f>
        <v/>
      </c>
      <c r="O378" s="22" t="str">
        <f aca="false">IF(OR(A378="",H378=""),"",IF(H378&lt;J378,"⚠ 低于标示",""))</f>
        <v/>
      </c>
      <c r="P378" s="19" t="n">
        <f aca="false">IF(OR(A378="",H378=""),0,G378*(H378-J378))</f>
        <v>0</v>
      </c>
      <c r="Q378" s="19" t="n">
        <f aca="false">IF(OR(A378="",H378=""),0,G378*J378)</f>
        <v>0</v>
      </c>
      <c r="R378" s="19" t="n">
        <f aca="false">IF(OR(A378="",H378=""),0,IF(H378&lt;J378,1,0))</f>
        <v>0</v>
      </c>
    </row>
    <row r="379" customFormat="false" ht="15" hidden="false" customHeight="false" outlineLevel="0" collapsed="false">
      <c r="A379" s="16"/>
      <c r="B379" s="17"/>
      <c r="C379" s="18"/>
      <c r="D379" s="17"/>
      <c r="E379" s="17"/>
      <c r="F379" s="17"/>
      <c r="G379" s="17"/>
      <c r="H379" s="17"/>
      <c r="I379" s="19" t="str">
        <f aca="false">IF(A379="","",D379*(E379-F379))</f>
        <v/>
      </c>
      <c r="J379" s="19" t="str">
        <f aca="false">IF(A379="","",IFERROR(INDEX(设定!$B$5:$B$14,MATCH(C379,设定!$A$5:$A$14,0)),0))</f>
        <v/>
      </c>
      <c r="K379" s="20" t="str">
        <f aca="false">IF(A379="","",G379*J379/1000)</f>
        <v/>
      </c>
      <c r="L379" s="20" t="str">
        <f aca="false">IF(A379="","",I379*IFERROR(INDEX(设定!$C$5:$C$14,MATCH(C379,设定!$A$5:$A$14,0)),0))</f>
        <v/>
      </c>
      <c r="M379" s="21" t="str">
        <f aca="false">IF(A379="","",IF(L379&gt;0,K379/L379,0))</f>
        <v/>
      </c>
      <c r="N379" s="21" t="str">
        <f aca="false">IF(OR(A379="",H379=""),"",IF(J379&gt;0,(H379-J379)/J379,0))</f>
        <v/>
      </c>
      <c r="O379" s="22" t="str">
        <f aca="false">IF(OR(A379="",H379=""),"",IF(H379&lt;J379,"⚠ 低于标示",""))</f>
        <v/>
      </c>
      <c r="P379" s="19" t="n">
        <f aca="false">IF(OR(A379="",H379=""),0,G379*(H379-J379))</f>
        <v>0</v>
      </c>
      <c r="Q379" s="19" t="n">
        <f aca="false">IF(OR(A379="",H379=""),0,G379*J379)</f>
        <v>0</v>
      </c>
      <c r="R379" s="19" t="n">
        <f aca="false">IF(OR(A379="",H379=""),0,IF(H379&lt;J379,1,0))</f>
        <v>0</v>
      </c>
    </row>
    <row r="380" customFormat="false" ht="15" hidden="false" customHeight="false" outlineLevel="0" collapsed="false">
      <c r="A380" s="16"/>
      <c r="B380" s="17"/>
      <c r="C380" s="18"/>
      <c r="D380" s="17"/>
      <c r="E380" s="17"/>
      <c r="F380" s="17"/>
      <c r="G380" s="17"/>
      <c r="H380" s="17"/>
      <c r="I380" s="19" t="str">
        <f aca="false">IF(A380="","",D380*(E380-F380))</f>
        <v/>
      </c>
      <c r="J380" s="19" t="str">
        <f aca="false">IF(A380="","",IFERROR(INDEX(设定!$B$5:$B$14,MATCH(C380,设定!$A$5:$A$14,0)),0))</f>
        <v/>
      </c>
      <c r="K380" s="20" t="str">
        <f aca="false">IF(A380="","",G380*J380/1000)</f>
        <v/>
      </c>
      <c r="L380" s="20" t="str">
        <f aca="false">IF(A380="","",I380*IFERROR(INDEX(设定!$C$5:$C$14,MATCH(C380,设定!$A$5:$A$14,0)),0))</f>
        <v/>
      </c>
      <c r="M380" s="21" t="str">
        <f aca="false">IF(A380="","",IF(L380&gt;0,K380/L380,0))</f>
        <v/>
      </c>
      <c r="N380" s="21" t="str">
        <f aca="false">IF(OR(A380="",H380=""),"",IF(J380&gt;0,(H380-J380)/J380,0))</f>
        <v/>
      </c>
      <c r="O380" s="22" t="str">
        <f aca="false">IF(OR(A380="",H380=""),"",IF(H380&lt;J380,"⚠ 低于标示",""))</f>
        <v/>
      </c>
      <c r="P380" s="19" t="n">
        <f aca="false">IF(OR(A380="",H380=""),0,G380*(H380-J380))</f>
        <v>0</v>
      </c>
      <c r="Q380" s="19" t="n">
        <f aca="false">IF(OR(A380="",H380=""),0,G380*J380)</f>
        <v>0</v>
      </c>
      <c r="R380" s="19" t="n">
        <f aca="false">IF(OR(A380="",H380=""),0,IF(H380&lt;J380,1,0))</f>
        <v>0</v>
      </c>
    </row>
    <row r="381" customFormat="false" ht="15" hidden="false" customHeight="false" outlineLevel="0" collapsed="false">
      <c r="A381" s="16"/>
      <c r="B381" s="17"/>
      <c r="C381" s="18"/>
      <c r="D381" s="17"/>
      <c r="E381" s="17"/>
      <c r="F381" s="17"/>
      <c r="G381" s="17"/>
      <c r="H381" s="17"/>
      <c r="I381" s="19" t="str">
        <f aca="false">IF(A381="","",D381*(E381-F381))</f>
        <v/>
      </c>
      <c r="J381" s="19" t="str">
        <f aca="false">IF(A381="","",IFERROR(INDEX(设定!$B$5:$B$14,MATCH(C381,设定!$A$5:$A$14,0)),0))</f>
        <v/>
      </c>
      <c r="K381" s="20" t="str">
        <f aca="false">IF(A381="","",G381*J381/1000)</f>
        <v/>
      </c>
      <c r="L381" s="20" t="str">
        <f aca="false">IF(A381="","",I381*IFERROR(INDEX(设定!$C$5:$C$14,MATCH(C381,设定!$A$5:$A$14,0)),0))</f>
        <v/>
      </c>
      <c r="M381" s="21" t="str">
        <f aca="false">IF(A381="","",IF(L381&gt;0,K381/L381,0))</f>
        <v/>
      </c>
      <c r="N381" s="21" t="str">
        <f aca="false">IF(OR(A381="",H381=""),"",IF(J381&gt;0,(H381-J381)/J381,0))</f>
        <v/>
      </c>
      <c r="O381" s="22" t="str">
        <f aca="false">IF(OR(A381="",H381=""),"",IF(H381&lt;J381,"⚠ 低于标示",""))</f>
        <v/>
      </c>
      <c r="P381" s="19" t="n">
        <f aca="false">IF(OR(A381="",H381=""),0,G381*(H381-J381))</f>
        <v>0</v>
      </c>
      <c r="Q381" s="19" t="n">
        <f aca="false">IF(OR(A381="",H381=""),0,G381*J381)</f>
        <v>0</v>
      </c>
      <c r="R381" s="19" t="n">
        <f aca="false">IF(OR(A381="",H381=""),0,IF(H381&lt;J381,1,0))</f>
        <v>0</v>
      </c>
    </row>
    <row r="382" customFormat="false" ht="15" hidden="false" customHeight="false" outlineLevel="0" collapsed="false">
      <c r="A382" s="16"/>
      <c r="B382" s="17"/>
      <c r="C382" s="18"/>
      <c r="D382" s="17"/>
      <c r="E382" s="17"/>
      <c r="F382" s="17"/>
      <c r="G382" s="17"/>
      <c r="H382" s="17"/>
      <c r="I382" s="19" t="str">
        <f aca="false">IF(A382="","",D382*(E382-F382))</f>
        <v/>
      </c>
      <c r="J382" s="19" t="str">
        <f aca="false">IF(A382="","",IFERROR(INDEX(设定!$B$5:$B$14,MATCH(C382,设定!$A$5:$A$14,0)),0))</f>
        <v/>
      </c>
      <c r="K382" s="20" t="str">
        <f aca="false">IF(A382="","",G382*J382/1000)</f>
        <v/>
      </c>
      <c r="L382" s="20" t="str">
        <f aca="false">IF(A382="","",I382*IFERROR(INDEX(设定!$C$5:$C$14,MATCH(C382,设定!$A$5:$A$14,0)),0))</f>
        <v/>
      </c>
      <c r="M382" s="21" t="str">
        <f aca="false">IF(A382="","",IF(L382&gt;0,K382/L382,0))</f>
        <v/>
      </c>
      <c r="N382" s="21" t="str">
        <f aca="false">IF(OR(A382="",H382=""),"",IF(J382&gt;0,(H382-J382)/J382,0))</f>
        <v/>
      </c>
      <c r="O382" s="22" t="str">
        <f aca="false">IF(OR(A382="",H382=""),"",IF(H382&lt;J382,"⚠ 低于标示",""))</f>
        <v/>
      </c>
      <c r="P382" s="19" t="n">
        <f aca="false">IF(OR(A382="",H382=""),0,G382*(H382-J382))</f>
        <v>0</v>
      </c>
      <c r="Q382" s="19" t="n">
        <f aca="false">IF(OR(A382="",H382=""),0,G382*J382)</f>
        <v>0</v>
      </c>
      <c r="R382" s="19" t="n">
        <f aca="false">IF(OR(A382="",H382=""),0,IF(H382&lt;J382,1,0))</f>
        <v>0</v>
      </c>
    </row>
    <row r="383" customFormat="false" ht="15" hidden="false" customHeight="false" outlineLevel="0" collapsed="false">
      <c r="A383" s="16"/>
      <c r="B383" s="17"/>
      <c r="C383" s="18"/>
      <c r="D383" s="17"/>
      <c r="E383" s="17"/>
      <c r="F383" s="17"/>
      <c r="G383" s="17"/>
      <c r="H383" s="17"/>
      <c r="I383" s="19" t="str">
        <f aca="false">IF(A383="","",D383*(E383-F383))</f>
        <v/>
      </c>
      <c r="J383" s="19" t="str">
        <f aca="false">IF(A383="","",IFERROR(INDEX(设定!$B$5:$B$14,MATCH(C383,设定!$A$5:$A$14,0)),0))</f>
        <v/>
      </c>
      <c r="K383" s="20" t="str">
        <f aca="false">IF(A383="","",G383*J383/1000)</f>
        <v/>
      </c>
      <c r="L383" s="20" t="str">
        <f aca="false">IF(A383="","",I383*IFERROR(INDEX(设定!$C$5:$C$14,MATCH(C383,设定!$A$5:$A$14,0)),0))</f>
        <v/>
      </c>
      <c r="M383" s="21" t="str">
        <f aca="false">IF(A383="","",IF(L383&gt;0,K383/L383,0))</f>
        <v/>
      </c>
      <c r="N383" s="21" t="str">
        <f aca="false">IF(OR(A383="",H383=""),"",IF(J383&gt;0,(H383-J383)/J383,0))</f>
        <v/>
      </c>
      <c r="O383" s="22" t="str">
        <f aca="false">IF(OR(A383="",H383=""),"",IF(H383&lt;J383,"⚠ 低于标示",""))</f>
        <v/>
      </c>
      <c r="P383" s="19" t="n">
        <f aca="false">IF(OR(A383="",H383=""),0,G383*(H383-J383))</f>
        <v>0</v>
      </c>
      <c r="Q383" s="19" t="n">
        <f aca="false">IF(OR(A383="",H383=""),0,G383*J383)</f>
        <v>0</v>
      </c>
      <c r="R383" s="19" t="n">
        <f aca="false">IF(OR(A383="",H383=""),0,IF(H383&lt;J383,1,0))</f>
        <v>0</v>
      </c>
    </row>
    <row r="384" customFormat="false" ht="15" hidden="false" customHeight="false" outlineLevel="0" collapsed="false">
      <c r="A384" s="16"/>
      <c r="B384" s="17"/>
      <c r="C384" s="18"/>
      <c r="D384" s="17"/>
      <c r="E384" s="17"/>
      <c r="F384" s="17"/>
      <c r="G384" s="17"/>
      <c r="H384" s="17"/>
      <c r="I384" s="19" t="str">
        <f aca="false">IF(A384="","",D384*(E384-F384))</f>
        <v/>
      </c>
      <c r="J384" s="19" t="str">
        <f aca="false">IF(A384="","",IFERROR(INDEX(设定!$B$5:$B$14,MATCH(C384,设定!$A$5:$A$14,0)),0))</f>
        <v/>
      </c>
      <c r="K384" s="20" t="str">
        <f aca="false">IF(A384="","",G384*J384/1000)</f>
        <v/>
      </c>
      <c r="L384" s="20" t="str">
        <f aca="false">IF(A384="","",I384*IFERROR(INDEX(设定!$C$5:$C$14,MATCH(C384,设定!$A$5:$A$14,0)),0))</f>
        <v/>
      </c>
      <c r="M384" s="21" t="str">
        <f aca="false">IF(A384="","",IF(L384&gt;0,K384/L384,0))</f>
        <v/>
      </c>
      <c r="N384" s="21" t="str">
        <f aca="false">IF(OR(A384="",H384=""),"",IF(J384&gt;0,(H384-J384)/J384,0))</f>
        <v/>
      </c>
      <c r="O384" s="22" t="str">
        <f aca="false">IF(OR(A384="",H384=""),"",IF(H384&lt;J384,"⚠ 低于标示",""))</f>
        <v/>
      </c>
      <c r="P384" s="19" t="n">
        <f aca="false">IF(OR(A384="",H384=""),0,G384*(H384-J384))</f>
        <v>0</v>
      </c>
      <c r="Q384" s="19" t="n">
        <f aca="false">IF(OR(A384="",H384=""),0,G384*J384)</f>
        <v>0</v>
      </c>
      <c r="R384" s="19" t="n">
        <f aca="false">IF(OR(A384="",H384=""),0,IF(H384&lt;J384,1,0))</f>
        <v>0</v>
      </c>
    </row>
    <row r="385" customFormat="false" ht="15" hidden="false" customHeight="false" outlineLevel="0" collapsed="false">
      <c r="A385" s="16"/>
      <c r="B385" s="17"/>
      <c r="C385" s="18"/>
      <c r="D385" s="17"/>
      <c r="E385" s="17"/>
      <c r="F385" s="17"/>
      <c r="G385" s="17"/>
      <c r="H385" s="17"/>
      <c r="I385" s="19" t="str">
        <f aca="false">IF(A385="","",D385*(E385-F385))</f>
        <v/>
      </c>
      <c r="J385" s="19" t="str">
        <f aca="false">IF(A385="","",IFERROR(INDEX(设定!$B$5:$B$14,MATCH(C385,设定!$A$5:$A$14,0)),0))</f>
        <v/>
      </c>
      <c r="K385" s="20" t="str">
        <f aca="false">IF(A385="","",G385*J385/1000)</f>
        <v/>
      </c>
      <c r="L385" s="20" t="str">
        <f aca="false">IF(A385="","",I385*IFERROR(INDEX(设定!$C$5:$C$14,MATCH(C385,设定!$A$5:$A$14,0)),0))</f>
        <v/>
      </c>
      <c r="M385" s="21" t="str">
        <f aca="false">IF(A385="","",IF(L385&gt;0,K385/L385,0))</f>
        <v/>
      </c>
      <c r="N385" s="21" t="str">
        <f aca="false">IF(OR(A385="",H385=""),"",IF(J385&gt;0,(H385-J385)/J385,0))</f>
        <v/>
      </c>
      <c r="O385" s="22" t="str">
        <f aca="false">IF(OR(A385="",H385=""),"",IF(H385&lt;J385,"⚠ 低于标示",""))</f>
        <v/>
      </c>
      <c r="P385" s="19" t="n">
        <f aca="false">IF(OR(A385="",H385=""),0,G385*(H385-J385))</f>
        <v>0</v>
      </c>
      <c r="Q385" s="19" t="n">
        <f aca="false">IF(OR(A385="",H385=""),0,G385*J385)</f>
        <v>0</v>
      </c>
      <c r="R385" s="19" t="n">
        <f aca="false">IF(OR(A385="",H385=""),0,IF(H385&lt;J385,1,0))</f>
        <v>0</v>
      </c>
    </row>
    <row r="386" customFormat="false" ht="15" hidden="false" customHeight="false" outlineLevel="0" collapsed="false">
      <c r="A386" s="16"/>
      <c r="B386" s="17"/>
      <c r="C386" s="18"/>
      <c r="D386" s="17"/>
      <c r="E386" s="17"/>
      <c r="F386" s="17"/>
      <c r="G386" s="17"/>
      <c r="H386" s="17"/>
      <c r="I386" s="19" t="str">
        <f aca="false">IF(A386="","",D386*(E386-F386))</f>
        <v/>
      </c>
      <c r="J386" s="19" t="str">
        <f aca="false">IF(A386="","",IFERROR(INDEX(设定!$B$5:$B$14,MATCH(C386,设定!$A$5:$A$14,0)),0))</f>
        <v/>
      </c>
      <c r="K386" s="20" t="str">
        <f aca="false">IF(A386="","",G386*J386/1000)</f>
        <v/>
      </c>
      <c r="L386" s="20" t="str">
        <f aca="false">IF(A386="","",I386*IFERROR(INDEX(设定!$C$5:$C$14,MATCH(C386,设定!$A$5:$A$14,0)),0))</f>
        <v/>
      </c>
      <c r="M386" s="21" t="str">
        <f aca="false">IF(A386="","",IF(L386&gt;0,K386/L386,0))</f>
        <v/>
      </c>
      <c r="N386" s="21" t="str">
        <f aca="false">IF(OR(A386="",H386=""),"",IF(J386&gt;0,(H386-J386)/J386,0))</f>
        <v/>
      </c>
      <c r="O386" s="22" t="str">
        <f aca="false">IF(OR(A386="",H386=""),"",IF(H386&lt;J386,"⚠ 低于标示",""))</f>
        <v/>
      </c>
      <c r="P386" s="19" t="n">
        <f aca="false">IF(OR(A386="",H386=""),0,G386*(H386-J386))</f>
        <v>0</v>
      </c>
      <c r="Q386" s="19" t="n">
        <f aca="false">IF(OR(A386="",H386=""),0,G386*J386)</f>
        <v>0</v>
      </c>
      <c r="R386" s="19" t="n">
        <f aca="false">IF(OR(A386="",H386=""),0,IF(H386&lt;J386,1,0))</f>
        <v>0</v>
      </c>
    </row>
    <row r="387" customFormat="false" ht="15" hidden="false" customHeight="false" outlineLevel="0" collapsed="false">
      <c r="A387" s="16"/>
      <c r="B387" s="17"/>
      <c r="C387" s="18"/>
      <c r="D387" s="17"/>
      <c r="E387" s="17"/>
      <c r="F387" s="17"/>
      <c r="G387" s="17"/>
      <c r="H387" s="17"/>
      <c r="I387" s="19" t="str">
        <f aca="false">IF(A387="","",D387*(E387-F387))</f>
        <v/>
      </c>
      <c r="J387" s="19" t="str">
        <f aca="false">IF(A387="","",IFERROR(INDEX(设定!$B$5:$B$14,MATCH(C387,设定!$A$5:$A$14,0)),0))</f>
        <v/>
      </c>
      <c r="K387" s="20" t="str">
        <f aca="false">IF(A387="","",G387*J387/1000)</f>
        <v/>
      </c>
      <c r="L387" s="20" t="str">
        <f aca="false">IF(A387="","",I387*IFERROR(INDEX(设定!$C$5:$C$14,MATCH(C387,设定!$A$5:$A$14,0)),0))</f>
        <v/>
      </c>
      <c r="M387" s="21" t="str">
        <f aca="false">IF(A387="","",IF(L387&gt;0,K387/L387,0))</f>
        <v/>
      </c>
      <c r="N387" s="21" t="str">
        <f aca="false">IF(OR(A387="",H387=""),"",IF(J387&gt;0,(H387-J387)/J387,0))</f>
        <v/>
      </c>
      <c r="O387" s="22" t="str">
        <f aca="false">IF(OR(A387="",H387=""),"",IF(H387&lt;J387,"⚠ 低于标示",""))</f>
        <v/>
      </c>
      <c r="P387" s="19" t="n">
        <f aca="false">IF(OR(A387="",H387=""),0,G387*(H387-J387))</f>
        <v>0</v>
      </c>
      <c r="Q387" s="19" t="n">
        <f aca="false">IF(OR(A387="",H387=""),0,G387*J387)</f>
        <v>0</v>
      </c>
      <c r="R387" s="19" t="n">
        <f aca="false">IF(OR(A387="",H387=""),0,IF(H387&lt;J387,1,0))</f>
        <v>0</v>
      </c>
    </row>
    <row r="388" customFormat="false" ht="15" hidden="false" customHeight="false" outlineLevel="0" collapsed="false">
      <c r="A388" s="16"/>
      <c r="B388" s="17"/>
      <c r="C388" s="18"/>
      <c r="D388" s="17"/>
      <c r="E388" s="17"/>
      <c r="F388" s="17"/>
      <c r="G388" s="17"/>
      <c r="H388" s="17"/>
      <c r="I388" s="19" t="str">
        <f aca="false">IF(A388="","",D388*(E388-F388))</f>
        <v/>
      </c>
      <c r="J388" s="19" t="str">
        <f aca="false">IF(A388="","",IFERROR(INDEX(设定!$B$5:$B$14,MATCH(C388,设定!$A$5:$A$14,0)),0))</f>
        <v/>
      </c>
      <c r="K388" s="20" t="str">
        <f aca="false">IF(A388="","",G388*J388/1000)</f>
        <v/>
      </c>
      <c r="L388" s="20" t="str">
        <f aca="false">IF(A388="","",I388*IFERROR(INDEX(设定!$C$5:$C$14,MATCH(C388,设定!$A$5:$A$14,0)),0))</f>
        <v/>
      </c>
      <c r="M388" s="21" t="str">
        <f aca="false">IF(A388="","",IF(L388&gt;0,K388/L388,0))</f>
        <v/>
      </c>
      <c r="N388" s="21" t="str">
        <f aca="false">IF(OR(A388="",H388=""),"",IF(J388&gt;0,(H388-J388)/J388,0))</f>
        <v/>
      </c>
      <c r="O388" s="22" t="str">
        <f aca="false">IF(OR(A388="",H388=""),"",IF(H388&lt;J388,"⚠ 低于标示",""))</f>
        <v/>
      </c>
      <c r="P388" s="19" t="n">
        <f aca="false">IF(OR(A388="",H388=""),0,G388*(H388-J388))</f>
        <v>0</v>
      </c>
      <c r="Q388" s="19" t="n">
        <f aca="false">IF(OR(A388="",H388=""),0,G388*J388)</f>
        <v>0</v>
      </c>
      <c r="R388" s="19" t="n">
        <f aca="false">IF(OR(A388="",H388=""),0,IF(H388&lt;J388,1,0))</f>
        <v>0</v>
      </c>
    </row>
    <row r="389" customFormat="false" ht="15" hidden="false" customHeight="false" outlineLevel="0" collapsed="false">
      <c r="A389" s="16"/>
      <c r="B389" s="17"/>
      <c r="C389" s="18"/>
      <c r="D389" s="17"/>
      <c r="E389" s="17"/>
      <c r="F389" s="17"/>
      <c r="G389" s="17"/>
      <c r="H389" s="17"/>
      <c r="I389" s="19" t="str">
        <f aca="false">IF(A389="","",D389*(E389-F389))</f>
        <v/>
      </c>
      <c r="J389" s="19" t="str">
        <f aca="false">IF(A389="","",IFERROR(INDEX(设定!$B$5:$B$14,MATCH(C389,设定!$A$5:$A$14,0)),0))</f>
        <v/>
      </c>
      <c r="K389" s="20" t="str">
        <f aca="false">IF(A389="","",G389*J389/1000)</f>
        <v/>
      </c>
      <c r="L389" s="20" t="str">
        <f aca="false">IF(A389="","",I389*IFERROR(INDEX(设定!$C$5:$C$14,MATCH(C389,设定!$A$5:$A$14,0)),0))</f>
        <v/>
      </c>
      <c r="M389" s="21" t="str">
        <f aca="false">IF(A389="","",IF(L389&gt;0,K389/L389,0))</f>
        <v/>
      </c>
      <c r="N389" s="21" t="str">
        <f aca="false">IF(OR(A389="",H389=""),"",IF(J389&gt;0,(H389-J389)/J389,0))</f>
        <v/>
      </c>
      <c r="O389" s="22" t="str">
        <f aca="false">IF(OR(A389="",H389=""),"",IF(H389&lt;J389,"⚠ 低于标示",""))</f>
        <v/>
      </c>
      <c r="P389" s="19" t="n">
        <f aca="false">IF(OR(A389="",H389=""),0,G389*(H389-J389))</f>
        <v>0</v>
      </c>
      <c r="Q389" s="19" t="n">
        <f aca="false">IF(OR(A389="",H389=""),0,G389*J389)</f>
        <v>0</v>
      </c>
      <c r="R389" s="19" t="n">
        <f aca="false">IF(OR(A389="",H389=""),0,IF(H389&lt;J389,1,0))</f>
        <v>0</v>
      </c>
    </row>
    <row r="390" customFormat="false" ht="15" hidden="false" customHeight="false" outlineLevel="0" collapsed="false">
      <c r="A390" s="16"/>
      <c r="B390" s="17"/>
      <c r="C390" s="18"/>
      <c r="D390" s="17"/>
      <c r="E390" s="17"/>
      <c r="F390" s="17"/>
      <c r="G390" s="17"/>
      <c r="H390" s="17"/>
      <c r="I390" s="19" t="str">
        <f aca="false">IF(A390="","",D390*(E390-F390))</f>
        <v/>
      </c>
      <c r="J390" s="19" t="str">
        <f aca="false">IF(A390="","",IFERROR(INDEX(设定!$B$5:$B$14,MATCH(C390,设定!$A$5:$A$14,0)),0))</f>
        <v/>
      </c>
      <c r="K390" s="20" t="str">
        <f aca="false">IF(A390="","",G390*J390/1000)</f>
        <v/>
      </c>
      <c r="L390" s="20" t="str">
        <f aca="false">IF(A390="","",I390*IFERROR(INDEX(设定!$C$5:$C$14,MATCH(C390,设定!$A$5:$A$14,0)),0))</f>
        <v/>
      </c>
      <c r="M390" s="21" t="str">
        <f aca="false">IF(A390="","",IF(L390&gt;0,K390/L390,0))</f>
        <v/>
      </c>
      <c r="N390" s="21" t="str">
        <f aca="false">IF(OR(A390="",H390=""),"",IF(J390&gt;0,(H390-J390)/J390,0))</f>
        <v/>
      </c>
      <c r="O390" s="22" t="str">
        <f aca="false">IF(OR(A390="",H390=""),"",IF(H390&lt;J390,"⚠ 低于标示",""))</f>
        <v/>
      </c>
      <c r="P390" s="19" t="n">
        <f aca="false">IF(OR(A390="",H390=""),0,G390*(H390-J390))</f>
        <v>0</v>
      </c>
      <c r="Q390" s="19" t="n">
        <f aca="false">IF(OR(A390="",H390=""),0,G390*J390)</f>
        <v>0</v>
      </c>
      <c r="R390" s="19" t="n">
        <f aca="false">IF(OR(A390="",H390=""),0,IF(H390&lt;J390,1,0))</f>
        <v>0</v>
      </c>
    </row>
    <row r="391" customFormat="false" ht="15" hidden="false" customHeight="false" outlineLevel="0" collapsed="false">
      <c r="A391" s="16"/>
      <c r="B391" s="17"/>
      <c r="C391" s="18"/>
      <c r="D391" s="17"/>
      <c r="E391" s="17"/>
      <c r="F391" s="17"/>
      <c r="G391" s="17"/>
      <c r="H391" s="17"/>
      <c r="I391" s="19" t="str">
        <f aca="false">IF(A391="","",D391*(E391-F391))</f>
        <v/>
      </c>
      <c r="J391" s="19" t="str">
        <f aca="false">IF(A391="","",IFERROR(INDEX(设定!$B$5:$B$14,MATCH(C391,设定!$A$5:$A$14,0)),0))</f>
        <v/>
      </c>
      <c r="K391" s="20" t="str">
        <f aca="false">IF(A391="","",G391*J391/1000)</f>
        <v/>
      </c>
      <c r="L391" s="20" t="str">
        <f aca="false">IF(A391="","",I391*IFERROR(INDEX(设定!$C$5:$C$14,MATCH(C391,设定!$A$5:$A$14,0)),0))</f>
        <v/>
      </c>
      <c r="M391" s="21" t="str">
        <f aca="false">IF(A391="","",IF(L391&gt;0,K391/L391,0))</f>
        <v/>
      </c>
      <c r="N391" s="21" t="str">
        <f aca="false">IF(OR(A391="",H391=""),"",IF(J391&gt;0,(H391-J391)/J391,0))</f>
        <v/>
      </c>
      <c r="O391" s="22" t="str">
        <f aca="false">IF(OR(A391="",H391=""),"",IF(H391&lt;J391,"⚠ 低于标示",""))</f>
        <v/>
      </c>
      <c r="P391" s="19" t="n">
        <f aca="false">IF(OR(A391="",H391=""),0,G391*(H391-J391))</f>
        <v>0</v>
      </c>
      <c r="Q391" s="19" t="n">
        <f aca="false">IF(OR(A391="",H391=""),0,G391*J391)</f>
        <v>0</v>
      </c>
      <c r="R391" s="19" t="n">
        <f aca="false">IF(OR(A391="",H391=""),0,IF(H391&lt;J391,1,0))</f>
        <v>0</v>
      </c>
    </row>
    <row r="392" customFormat="false" ht="15" hidden="false" customHeight="false" outlineLevel="0" collapsed="false">
      <c r="A392" s="16"/>
      <c r="B392" s="17"/>
      <c r="C392" s="18"/>
      <c r="D392" s="17"/>
      <c r="E392" s="17"/>
      <c r="F392" s="17"/>
      <c r="G392" s="17"/>
      <c r="H392" s="17"/>
      <c r="I392" s="19" t="str">
        <f aca="false">IF(A392="","",D392*(E392-F392))</f>
        <v/>
      </c>
      <c r="J392" s="19" t="str">
        <f aca="false">IF(A392="","",IFERROR(INDEX(设定!$B$5:$B$14,MATCH(C392,设定!$A$5:$A$14,0)),0))</f>
        <v/>
      </c>
      <c r="K392" s="20" t="str">
        <f aca="false">IF(A392="","",G392*J392/1000)</f>
        <v/>
      </c>
      <c r="L392" s="20" t="str">
        <f aca="false">IF(A392="","",I392*IFERROR(INDEX(设定!$C$5:$C$14,MATCH(C392,设定!$A$5:$A$14,0)),0))</f>
        <v/>
      </c>
      <c r="M392" s="21" t="str">
        <f aca="false">IF(A392="","",IF(L392&gt;0,K392/L392,0))</f>
        <v/>
      </c>
      <c r="N392" s="21" t="str">
        <f aca="false">IF(OR(A392="",H392=""),"",IF(J392&gt;0,(H392-J392)/J392,0))</f>
        <v/>
      </c>
      <c r="O392" s="22" t="str">
        <f aca="false">IF(OR(A392="",H392=""),"",IF(H392&lt;J392,"⚠ 低于标示",""))</f>
        <v/>
      </c>
      <c r="P392" s="19" t="n">
        <f aca="false">IF(OR(A392="",H392=""),0,G392*(H392-J392))</f>
        <v>0</v>
      </c>
      <c r="Q392" s="19" t="n">
        <f aca="false">IF(OR(A392="",H392=""),0,G392*J392)</f>
        <v>0</v>
      </c>
      <c r="R392" s="19" t="n">
        <f aca="false">IF(OR(A392="",H392=""),0,IF(H392&lt;J392,1,0))</f>
        <v>0</v>
      </c>
    </row>
    <row r="393" customFormat="false" ht="15" hidden="false" customHeight="false" outlineLevel="0" collapsed="false">
      <c r="A393" s="16"/>
      <c r="B393" s="17"/>
      <c r="C393" s="18"/>
      <c r="D393" s="17"/>
      <c r="E393" s="17"/>
      <c r="F393" s="17"/>
      <c r="G393" s="17"/>
      <c r="H393" s="17"/>
      <c r="I393" s="19" t="str">
        <f aca="false">IF(A393="","",D393*(E393-F393))</f>
        <v/>
      </c>
      <c r="J393" s="19" t="str">
        <f aca="false">IF(A393="","",IFERROR(INDEX(设定!$B$5:$B$14,MATCH(C393,设定!$A$5:$A$14,0)),0))</f>
        <v/>
      </c>
      <c r="K393" s="20" t="str">
        <f aca="false">IF(A393="","",G393*J393/1000)</f>
        <v/>
      </c>
      <c r="L393" s="20" t="str">
        <f aca="false">IF(A393="","",I393*IFERROR(INDEX(设定!$C$5:$C$14,MATCH(C393,设定!$A$5:$A$14,0)),0))</f>
        <v/>
      </c>
      <c r="M393" s="21" t="str">
        <f aca="false">IF(A393="","",IF(L393&gt;0,K393/L393,0))</f>
        <v/>
      </c>
      <c r="N393" s="21" t="str">
        <f aca="false">IF(OR(A393="",H393=""),"",IF(J393&gt;0,(H393-J393)/J393,0))</f>
        <v/>
      </c>
      <c r="O393" s="22" t="str">
        <f aca="false">IF(OR(A393="",H393=""),"",IF(H393&lt;J393,"⚠ 低于标示",""))</f>
        <v/>
      </c>
      <c r="P393" s="19" t="n">
        <f aca="false">IF(OR(A393="",H393=""),0,G393*(H393-J393))</f>
        <v>0</v>
      </c>
      <c r="Q393" s="19" t="n">
        <f aca="false">IF(OR(A393="",H393=""),0,G393*J393)</f>
        <v>0</v>
      </c>
      <c r="R393" s="19" t="n">
        <f aca="false">IF(OR(A393="",H393=""),0,IF(H393&lt;J393,1,0))</f>
        <v>0</v>
      </c>
    </row>
    <row r="394" customFormat="false" ht="15" hidden="false" customHeight="false" outlineLevel="0" collapsed="false">
      <c r="A394" s="16"/>
      <c r="B394" s="17"/>
      <c r="C394" s="18"/>
      <c r="D394" s="17"/>
      <c r="E394" s="17"/>
      <c r="F394" s="17"/>
      <c r="G394" s="17"/>
      <c r="H394" s="17"/>
      <c r="I394" s="19" t="str">
        <f aca="false">IF(A394="","",D394*(E394-F394))</f>
        <v/>
      </c>
      <c r="J394" s="19" t="str">
        <f aca="false">IF(A394="","",IFERROR(INDEX(设定!$B$5:$B$14,MATCH(C394,设定!$A$5:$A$14,0)),0))</f>
        <v/>
      </c>
      <c r="K394" s="20" t="str">
        <f aca="false">IF(A394="","",G394*J394/1000)</f>
        <v/>
      </c>
      <c r="L394" s="20" t="str">
        <f aca="false">IF(A394="","",I394*IFERROR(INDEX(设定!$C$5:$C$14,MATCH(C394,设定!$A$5:$A$14,0)),0))</f>
        <v/>
      </c>
      <c r="M394" s="21" t="str">
        <f aca="false">IF(A394="","",IF(L394&gt;0,K394/L394,0))</f>
        <v/>
      </c>
      <c r="N394" s="21" t="str">
        <f aca="false">IF(OR(A394="",H394=""),"",IF(J394&gt;0,(H394-J394)/J394,0))</f>
        <v/>
      </c>
      <c r="O394" s="22" t="str">
        <f aca="false">IF(OR(A394="",H394=""),"",IF(H394&lt;J394,"⚠ 低于标示",""))</f>
        <v/>
      </c>
      <c r="P394" s="19" t="n">
        <f aca="false">IF(OR(A394="",H394=""),0,G394*(H394-J394))</f>
        <v>0</v>
      </c>
      <c r="Q394" s="19" t="n">
        <f aca="false">IF(OR(A394="",H394=""),0,G394*J394)</f>
        <v>0</v>
      </c>
      <c r="R394" s="19" t="n">
        <f aca="false">IF(OR(A394="",H394=""),0,IF(H394&lt;J394,1,0))</f>
        <v>0</v>
      </c>
    </row>
    <row r="395" customFormat="false" ht="15" hidden="false" customHeight="false" outlineLevel="0" collapsed="false">
      <c r="A395" s="16"/>
      <c r="B395" s="17"/>
      <c r="C395" s="18"/>
      <c r="D395" s="17"/>
      <c r="E395" s="17"/>
      <c r="F395" s="17"/>
      <c r="G395" s="17"/>
      <c r="H395" s="17"/>
      <c r="I395" s="19" t="str">
        <f aca="false">IF(A395="","",D395*(E395-F395))</f>
        <v/>
      </c>
      <c r="J395" s="19" t="str">
        <f aca="false">IF(A395="","",IFERROR(INDEX(设定!$B$5:$B$14,MATCH(C395,设定!$A$5:$A$14,0)),0))</f>
        <v/>
      </c>
      <c r="K395" s="20" t="str">
        <f aca="false">IF(A395="","",G395*J395/1000)</f>
        <v/>
      </c>
      <c r="L395" s="20" t="str">
        <f aca="false">IF(A395="","",I395*IFERROR(INDEX(设定!$C$5:$C$14,MATCH(C395,设定!$A$5:$A$14,0)),0))</f>
        <v/>
      </c>
      <c r="M395" s="21" t="str">
        <f aca="false">IF(A395="","",IF(L395&gt;0,K395/L395,0))</f>
        <v/>
      </c>
      <c r="N395" s="21" t="str">
        <f aca="false">IF(OR(A395="",H395=""),"",IF(J395&gt;0,(H395-J395)/J395,0))</f>
        <v/>
      </c>
      <c r="O395" s="22" t="str">
        <f aca="false">IF(OR(A395="",H395=""),"",IF(H395&lt;J395,"⚠ 低于标示",""))</f>
        <v/>
      </c>
      <c r="P395" s="19" t="n">
        <f aca="false">IF(OR(A395="",H395=""),0,G395*(H395-J395))</f>
        <v>0</v>
      </c>
      <c r="Q395" s="19" t="n">
        <f aca="false">IF(OR(A395="",H395=""),0,G395*J395)</f>
        <v>0</v>
      </c>
      <c r="R395" s="19" t="n">
        <f aca="false">IF(OR(A395="",H395=""),0,IF(H395&lt;J395,1,0))</f>
        <v>0</v>
      </c>
    </row>
    <row r="396" customFormat="false" ht="15" hidden="false" customHeight="false" outlineLevel="0" collapsed="false">
      <c r="A396" s="16"/>
      <c r="B396" s="17"/>
      <c r="C396" s="18"/>
      <c r="D396" s="17"/>
      <c r="E396" s="17"/>
      <c r="F396" s="17"/>
      <c r="G396" s="17"/>
      <c r="H396" s="17"/>
      <c r="I396" s="19" t="str">
        <f aca="false">IF(A396="","",D396*(E396-F396))</f>
        <v/>
      </c>
      <c r="J396" s="19" t="str">
        <f aca="false">IF(A396="","",IFERROR(INDEX(设定!$B$5:$B$14,MATCH(C396,设定!$A$5:$A$14,0)),0))</f>
        <v/>
      </c>
      <c r="K396" s="20" t="str">
        <f aca="false">IF(A396="","",G396*J396/1000)</f>
        <v/>
      </c>
      <c r="L396" s="20" t="str">
        <f aca="false">IF(A396="","",I396*IFERROR(INDEX(设定!$C$5:$C$14,MATCH(C396,设定!$A$5:$A$14,0)),0))</f>
        <v/>
      </c>
      <c r="M396" s="21" t="str">
        <f aca="false">IF(A396="","",IF(L396&gt;0,K396/L396,0))</f>
        <v/>
      </c>
      <c r="N396" s="21" t="str">
        <f aca="false">IF(OR(A396="",H396=""),"",IF(J396&gt;0,(H396-J396)/J396,0))</f>
        <v/>
      </c>
      <c r="O396" s="22" t="str">
        <f aca="false">IF(OR(A396="",H396=""),"",IF(H396&lt;J396,"⚠ 低于标示",""))</f>
        <v/>
      </c>
      <c r="P396" s="19" t="n">
        <f aca="false">IF(OR(A396="",H396=""),0,G396*(H396-J396))</f>
        <v>0</v>
      </c>
      <c r="Q396" s="19" t="n">
        <f aca="false">IF(OR(A396="",H396=""),0,G396*J396)</f>
        <v>0</v>
      </c>
      <c r="R396" s="19" t="n">
        <f aca="false">IF(OR(A396="",H396=""),0,IF(H396&lt;J396,1,0))</f>
        <v>0</v>
      </c>
    </row>
    <row r="397" customFormat="false" ht="15" hidden="false" customHeight="false" outlineLevel="0" collapsed="false">
      <c r="A397" s="16"/>
      <c r="B397" s="17"/>
      <c r="C397" s="18"/>
      <c r="D397" s="17"/>
      <c r="E397" s="17"/>
      <c r="F397" s="17"/>
      <c r="G397" s="17"/>
      <c r="H397" s="17"/>
      <c r="I397" s="19" t="str">
        <f aca="false">IF(A397="","",D397*(E397-F397))</f>
        <v/>
      </c>
      <c r="J397" s="19" t="str">
        <f aca="false">IF(A397="","",IFERROR(INDEX(设定!$B$5:$B$14,MATCH(C397,设定!$A$5:$A$14,0)),0))</f>
        <v/>
      </c>
      <c r="K397" s="20" t="str">
        <f aca="false">IF(A397="","",G397*J397/1000)</f>
        <v/>
      </c>
      <c r="L397" s="20" t="str">
        <f aca="false">IF(A397="","",I397*IFERROR(INDEX(设定!$C$5:$C$14,MATCH(C397,设定!$A$5:$A$14,0)),0))</f>
        <v/>
      </c>
      <c r="M397" s="21" t="str">
        <f aca="false">IF(A397="","",IF(L397&gt;0,K397/L397,0))</f>
        <v/>
      </c>
      <c r="N397" s="21" t="str">
        <f aca="false">IF(OR(A397="",H397=""),"",IF(J397&gt;0,(H397-J397)/J397,0))</f>
        <v/>
      </c>
      <c r="O397" s="22" t="str">
        <f aca="false">IF(OR(A397="",H397=""),"",IF(H397&lt;J397,"⚠ 低于标示",""))</f>
        <v/>
      </c>
      <c r="P397" s="19" t="n">
        <f aca="false">IF(OR(A397="",H397=""),0,G397*(H397-J397))</f>
        <v>0</v>
      </c>
      <c r="Q397" s="19" t="n">
        <f aca="false">IF(OR(A397="",H397=""),0,G397*J397)</f>
        <v>0</v>
      </c>
      <c r="R397" s="19" t="n">
        <f aca="false">IF(OR(A397="",H397=""),0,IF(H397&lt;J397,1,0))</f>
        <v>0</v>
      </c>
    </row>
    <row r="398" customFormat="false" ht="15" hidden="false" customHeight="false" outlineLevel="0" collapsed="false">
      <c r="A398" s="16"/>
      <c r="B398" s="17"/>
      <c r="C398" s="18"/>
      <c r="D398" s="17"/>
      <c r="E398" s="17"/>
      <c r="F398" s="17"/>
      <c r="G398" s="17"/>
      <c r="H398" s="17"/>
      <c r="I398" s="19" t="str">
        <f aca="false">IF(A398="","",D398*(E398-F398))</f>
        <v/>
      </c>
      <c r="J398" s="19" t="str">
        <f aca="false">IF(A398="","",IFERROR(INDEX(设定!$B$5:$B$14,MATCH(C398,设定!$A$5:$A$14,0)),0))</f>
        <v/>
      </c>
      <c r="K398" s="20" t="str">
        <f aca="false">IF(A398="","",G398*J398/1000)</f>
        <v/>
      </c>
      <c r="L398" s="20" t="str">
        <f aca="false">IF(A398="","",I398*IFERROR(INDEX(设定!$C$5:$C$14,MATCH(C398,设定!$A$5:$A$14,0)),0))</f>
        <v/>
      </c>
      <c r="M398" s="21" t="str">
        <f aca="false">IF(A398="","",IF(L398&gt;0,K398/L398,0))</f>
        <v/>
      </c>
      <c r="N398" s="21" t="str">
        <f aca="false">IF(OR(A398="",H398=""),"",IF(J398&gt;0,(H398-J398)/J398,0))</f>
        <v/>
      </c>
      <c r="O398" s="22" t="str">
        <f aca="false">IF(OR(A398="",H398=""),"",IF(H398&lt;J398,"⚠ 低于标示",""))</f>
        <v/>
      </c>
      <c r="P398" s="19" t="n">
        <f aca="false">IF(OR(A398="",H398=""),0,G398*(H398-J398))</f>
        <v>0</v>
      </c>
      <c r="Q398" s="19" t="n">
        <f aca="false">IF(OR(A398="",H398=""),0,G398*J398)</f>
        <v>0</v>
      </c>
      <c r="R398" s="19" t="n">
        <f aca="false">IF(OR(A398="",H398=""),0,IF(H398&lt;J398,1,0))</f>
        <v>0</v>
      </c>
    </row>
    <row r="399" customFormat="false" ht="15" hidden="false" customHeight="false" outlineLevel="0" collapsed="false">
      <c r="A399" s="16"/>
      <c r="B399" s="17"/>
      <c r="C399" s="18"/>
      <c r="D399" s="17"/>
      <c r="E399" s="17"/>
      <c r="F399" s="17"/>
      <c r="G399" s="17"/>
      <c r="H399" s="17"/>
      <c r="I399" s="19" t="str">
        <f aca="false">IF(A399="","",D399*(E399-F399))</f>
        <v/>
      </c>
      <c r="J399" s="19" t="str">
        <f aca="false">IF(A399="","",IFERROR(INDEX(设定!$B$5:$B$14,MATCH(C399,设定!$A$5:$A$14,0)),0))</f>
        <v/>
      </c>
      <c r="K399" s="20" t="str">
        <f aca="false">IF(A399="","",G399*J399/1000)</f>
        <v/>
      </c>
      <c r="L399" s="20" t="str">
        <f aca="false">IF(A399="","",I399*IFERROR(INDEX(设定!$C$5:$C$14,MATCH(C399,设定!$A$5:$A$14,0)),0))</f>
        <v/>
      </c>
      <c r="M399" s="21" t="str">
        <f aca="false">IF(A399="","",IF(L399&gt;0,K399/L399,0))</f>
        <v/>
      </c>
      <c r="N399" s="21" t="str">
        <f aca="false">IF(OR(A399="",H399=""),"",IF(J399&gt;0,(H399-J399)/J399,0))</f>
        <v/>
      </c>
      <c r="O399" s="22" t="str">
        <f aca="false">IF(OR(A399="",H399=""),"",IF(H399&lt;J399,"⚠ 低于标示",""))</f>
        <v/>
      </c>
      <c r="P399" s="19" t="n">
        <f aca="false">IF(OR(A399="",H399=""),0,G399*(H399-J399))</f>
        <v>0</v>
      </c>
      <c r="Q399" s="19" t="n">
        <f aca="false">IF(OR(A399="",H399=""),0,G399*J399)</f>
        <v>0</v>
      </c>
      <c r="R399" s="19" t="n">
        <f aca="false">IF(OR(A399="",H399=""),0,IF(H399&lt;J399,1,0))</f>
        <v>0</v>
      </c>
    </row>
    <row r="400" customFormat="false" ht="15" hidden="false" customHeight="false" outlineLevel="0" collapsed="false">
      <c r="A400" s="16"/>
      <c r="B400" s="17"/>
      <c r="C400" s="18"/>
      <c r="D400" s="17"/>
      <c r="E400" s="17"/>
      <c r="F400" s="17"/>
      <c r="G400" s="17"/>
      <c r="H400" s="17"/>
      <c r="I400" s="19" t="str">
        <f aca="false">IF(A400="","",D400*(E400-F400))</f>
        <v/>
      </c>
      <c r="J400" s="19" t="str">
        <f aca="false">IF(A400="","",IFERROR(INDEX(设定!$B$5:$B$14,MATCH(C400,设定!$A$5:$A$14,0)),0))</f>
        <v/>
      </c>
      <c r="K400" s="20" t="str">
        <f aca="false">IF(A400="","",G400*J400/1000)</f>
        <v/>
      </c>
      <c r="L400" s="20" t="str">
        <f aca="false">IF(A400="","",I400*IFERROR(INDEX(设定!$C$5:$C$14,MATCH(C400,设定!$A$5:$A$14,0)),0))</f>
        <v/>
      </c>
      <c r="M400" s="21" t="str">
        <f aca="false">IF(A400="","",IF(L400&gt;0,K400/L400,0))</f>
        <v/>
      </c>
      <c r="N400" s="21" t="str">
        <f aca="false">IF(OR(A400="",H400=""),"",IF(J400&gt;0,(H400-J400)/J400,0))</f>
        <v/>
      </c>
      <c r="O400" s="22" t="str">
        <f aca="false">IF(OR(A400="",H400=""),"",IF(H400&lt;J400,"⚠ 低于标示",""))</f>
        <v/>
      </c>
      <c r="P400" s="19" t="n">
        <f aca="false">IF(OR(A400="",H400=""),0,G400*(H400-J400))</f>
        <v>0</v>
      </c>
      <c r="Q400" s="19" t="n">
        <f aca="false">IF(OR(A400="",H400=""),0,G400*J400)</f>
        <v>0</v>
      </c>
      <c r="R400" s="19" t="n">
        <f aca="false">IF(OR(A400="",H400=""),0,IF(H400&lt;J400,1,0))</f>
        <v>0</v>
      </c>
    </row>
    <row r="401" customFormat="false" ht="15" hidden="false" customHeight="false" outlineLevel="0" collapsed="false">
      <c r="A401" s="16"/>
      <c r="B401" s="17"/>
      <c r="C401" s="18"/>
      <c r="D401" s="17"/>
      <c r="E401" s="17"/>
      <c r="F401" s="17"/>
      <c r="G401" s="17"/>
      <c r="H401" s="17"/>
      <c r="I401" s="19" t="str">
        <f aca="false">IF(A401="","",D401*(E401-F401))</f>
        <v/>
      </c>
      <c r="J401" s="19" t="str">
        <f aca="false">IF(A401="","",IFERROR(INDEX(设定!$B$5:$B$14,MATCH(C401,设定!$A$5:$A$14,0)),0))</f>
        <v/>
      </c>
      <c r="K401" s="20" t="str">
        <f aca="false">IF(A401="","",G401*J401/1000)</f>
        <v/>
      </c>
      <c r="L401" s="20" t="str">
        <f aca="false">IF(A401="","",I401*IFERROR(INDEX(设定!$C$5:$C$14,MATCH(C401,设定!$A$5:$A$14,0)),0))</f>
        <v/>
      </c>
      <c r="M401" s="21" t="str">
        <f aca="false">IF(A401="","",IF(L401&gt;0,K401/L401,0))</f>
        <v/>
      </c>
      <c r="N401" s="21" t="str">
        <f aca="false">IF(OR(A401="",H401=""),"",IF(J401&gt;0,(H401-J401)/J401,0))</f>
        <v/>
      </c>
      <c r="O401" s="22" t="str">
        <f aca="false">IF(OR(A401="",H401=""),"",IF(H401&lt;J401,"⚠ 低于标示",""))</f>
        <v/>
      </c>
      <c r="P401" s="19" t="n">
        <f aca="false">IF(OR(A401="",H401=""),0,G401*(H401-J401))</f>
        <v>0</v>
      </c>
      <c r="Q401" s="19" t="n">
        <f aca="false">IF(OR(A401="",H401=""),0,G401*J401)</f>
        <v>0</v>
      </c>
      <c r="R401" s="19" t="n">
        <f aca="false">IF(OR(A401="",H401=""),0,IF(H401&lt;J401,1,0))</f>
        <v>0</v>
      </c>
    </row>
  </sheetData>
  <conditionalFormatting sqref="O2:O401">
    <cfRule type="expression" priority="2" aboveAverage="0" equalAverage="0" bottom="0" percent="0" rank="0" text="" dxfId="0">
      <formula>O2&lt;&gt;""</formula>
    </cfRule>
  </conditionalFormatting>
  <dataValidations count="2">
    <dataValidation allowBlank="true" errorStyle="stop" operator="between" showDropDown="false" showErrorMessage="false" showInputMessage="false" sqref="B2:B401" type="list">
      <formula1>"Line 1,Line 2,Line 3"</formula1>
      <formula2>0</formula2>
    </dataValidation>
    <dataValidation allowBlank="true" errorStyle="stop" operator="between" showDropDown="false" showErrorMessage="false" showInputMessage="false" sqref="C2:C401" type="list">
      <formula1>设定!$A$5:$A$14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6" min="5" style="0" width="11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10"/>
  </cols>
  <sheetData>
    <row r="1" customFormat="false" ht="17.35" hidden="false" customHeight="false" outlineLevel="0" collapsed="false">
      <c r="A1" s="6" t="s">
        <v>60</v>
      </c>
    </row>
    <row r="2" customFormat="false" ht="15" hidden="false" customHeight="false" outlineLevel="0" collapsed="false">
      <c r="A2" s="3" t="s">
        <v>61</v>
      </c>
      <c r="C2" s="23" t="n">
        <v>46296</v>
      </c>
    </row>
    <row r="3" customFormat="false" ht="15" hidden="false" customHeight="false" outlineLevel="0" collapsed="false">
      <c r="A3" s="24" t="s">
        <v>62</v>
      </c>
      <c r="C3" s="25" t="n">
        <f aca="false">EOMONTH(C2,0)</f>
        <v>46326</v>
      </c>
    </row>
    <row r="5" customFormat="false" ht="15" hidden="false" customHeight="false" outlineLevel="0" collapsed="false">
      <c r="A5" s="26" t="s">
        <v>63</v>
      </c>
    </row>
    <row r="6" customFormat="false" ht="45" hidden="false" customHeight="true" outlineLevel="0" collapsed="false">
      <c r="A6" s="7" t="s">
        <v>41</v>
      </c>
      <c r="B6" s="7" t="s">
        <v>49</v>
      </c>
      <c r="C6" s="7" t="s">
        <v>50</v>
      </c>
      <c r="D6" s="7" t="s">
        <v>51</v>
      </c>
      <c r="E6" s="7" t="s">
        <v>52</v>
      </c>
      <c r="F6" s="7" t="s">
        <v>56</v>
      </c>
      <c r="G6" s="7" t="s">
        <v>64</v>
      </c>
      <c r="H6" s="7" t="s">
        <v>65</v>
      </c>
      <c r="I6" s="7" t="s">
        <v>66</v>
      </c>
      <c r="J6" s="7" t="s">
        <v>67</v>
      </c>
      <c r="K6" s="7" t="s">
        <v>35</v>
      </c>
    </row>
    <row r="7" customFormat="false" ht="15" hidden="false" customHeight="false" outlineLevel="0" collapsed="false">
      <c r="A7" s="19" t="s">
        <v>57</v>
      </c>
      <c r="B7" s="20" t="n">
        <f aca="false">SUMIFS(每日记录!$K:$K,每日记录!$B:$B,$A7,每日记录!$A:$A,"&gt;="&amp;$C$2,每日记录!$A:$A,"&lt;="&amp;$C$3)</f>
        <v>597.5</v>
      </c>
      <c r="C7" s="20" t="n">
        <f aca="false">SUMIFS(每日记录!$L:$L,每日记录!$B:$B,$A7,每日记录!$A:$A,"&gt;="&amp;$C$2,每日记录!$A:$A,"&lt;="&amp;$C$3)</f>
        <v>576</v>
      </c>
      <c r="D7" s="21" t="n">
        <f aca="false">IF(C7&gt;0,B7/C7,0)</f>
        <v>1.03732638888889</v>
      </c>
      <c r="E7" s="21" t="n">
        <f aca="false">IFERROR(SUMIFS(每日记录!$P:$P,每日记录!$B:$B,$A7,每日记录!$A:$A,"&gt;="&amp;$C$2,每日记录!$A:$A,"&lt;="&amp;$C$3)/SUMIFS(每日记录!$Q:$Q,每日记录!$B:$B,$A7,每日记录!$A:$A,"&gt;="&amp;$C$2,每日记录!$A:$A,"&lt;="&amp;$C$3),0)</f>
        <v>0.0165606694560669</v>
      </c>
      <c r="F7" s="19" t="n">
        <f aca="false">SUMIFS(每日记录!$R:$R,每日记录!$B:$B,$A7,每日记录!$A:$A,"&gt;="&amp;$C$2,每日记录!$A:$A,"&lt;="&amp;$C$3)</f>
        <v>0</v>
      </c>
      <c r="G7" s="9" t="n">
        <v>0</v>
      </c>
      <c r="H7" s="9" t="n">
        <v>0</v>
      </c>
      <c r="I7" s="19" t="n">
        <f aca="false">IF(D7&gt;=设定!$E$7,设定!$F$7,IF(D7&gt;=设定!$E$6,设定!$F$6,IF(D7&gt;=设定!$E$5,设定!$F$5,0)))</f>
        <v>80</v>
      </c>
      <c r="J7" s="19" t="n">
        <f aca="false">IF(OR(E7&lt;0,F7&gt;0,C7=0),0,IF(E7&lt;=设定!$E$11,设定!$F$11,IF(E7&lt;=设定!$E$12,设定!$F$12,0)))</f>
        <v>50</v>
      </c>
      <c r="K7" s="27" t="n">
        <f aca="false">IF(H7&gt;0,设定!$F$24,IF(G7+F7=0,设定!$F$22,IF(G7+F7=1,设定!$F$23,设定!$F$24)))</f>
        <v>1</v>
      </c>
    </row>
    <row r="8" customFormat="false" ht="15" hidden="false" customHeight="false" outlineLevel="0" collapsed="false">
      <c r="A8" s="19" t="s">
        <v>58</v>
      </c>
      <c r="B8" s="20" t="n">
        <f aca="false">SUMIFS(每日记录!$K:$K,每日记录!$B:$B,$A8,每日记录!$A:$A,"&gt;="&amp;$C$2,每日记录!$A:$A,"&lt;="&amp;$C$3)</f>
        <v>459</v>
      </c>
      <c r="C8" s="20" t="n">
        <f aca="false">SUMIFS(每日记录!$L:$L,每日记录!$B:$B,$A8,每日记录!$A:$A,"&gt;="&amp;$C$2,每日记录!$A:$A,"&lt;="&amp;$C$3)</f>
        <v>414</v>
      </c>
      <c r="D8" s="21" t="n">
        <f aca="false">IF(C8&gt;0,B8/C8,0)</f>
        <v>1.10869565217391</v>
      </c>
      <c r="E8" s="21" t="n">
        <f aca="false">IFERROR(SUMIFS(每日记录!$P:$P,每日记录!$B:$B,$A8,每日记录!$A:$A,"&gt;="&amp;$C$2,每日记录!$A:$A,"&lt;="&amp;$C$3)/SUMIFS(每日记录!$Q:$Q,每日记录!$B:$B,$A8,每日记录!$A:$A,"&gt;="&amp;$C$2,每日记录!$A:$A,"&lt;="&amp;$C$3),0)</f>
        <v>0.0202941176470588</v>
      </c>
      <c r="F8" s="19" t="n">
        <f aca="false">SUMIFS(每日记录!$R:$R,每日记录!$B:$B,$A8,每日记录!$A:$A,"&gt;="&amp;$C$2,每日记录!$A:$A,"&lt;="&amp;$C$3)</f>
        <v>0</v>
      </c>
      <c r="G8" s="9" t="n">
        <v>0</v>
      </c>
      <c r="H8" s="9" t="n">
        <v>0</v>
      </c>
      <c r="I8" s="19" t="n">
        <f aca="false">IF(D8&gt;=设定!$E$7,设定!$F$7,IF(D8&gt;=设定!$E$6,设定!$F$6,IF(D8&gt;=设定!$E$5,设定!$F$5,0)))</f>
        <v>120</v>
      </c>
      <c r="J8" s="19" t="n">
        <f aca="false">IF(OR(E8&lt;0,F8&gt;0,C8=0),0,IF(E8&lt;=设定!$E$11,设定!$F$11,IF(E8&lt;=设定!$E$12,设定!$F$12,0)))</f>
        <v>50</v>
      </c>
      <c r="K8" s="27" t="n">
        <f aca="false">IF(H8&gt;0,设定!$F$24,IF(G8+F8=0,设定!$F$22,IF(G8+F8=1,设定!$F$23,设定!$F$24)))</f>
        <v>1</v>
      </c>
    </row>
    <row r="9" customFormat="false" ht="15" hidden="false" customHeight="false" outlineLevel="0" collapsed="false">
      <c r="A9" s="19" t="s">
        <v>59</v>
      </c>
      <c r="B9" s="20" t="n">
        <f aca="false">SUMIFS(每日记录!$K:$K,每日记录!$B:$B,$A9,每日记录!$A:$A,"&gt;="&amp;$C$2,每日记录!$A:$A,"&lt;="&amp;$C$3)</f>
        <v>248</v>
      </c>
      <c r="C9" s="20" t="n">
        <f aca="false">SUMIFS(每日记录!$L:$L,每日记录!$B:$B,$A9,每日记录!$A:$A,"&gt;="&amp;$C$2,每日记录!$A:$A,"&lt;="&amp;$C$3)</f>
        <v>240</v>
      </c>
      <c r="D9" s="21" t="n">
        <f aca="false">IF(C9&gt;0,B9/C9,0)</f>
        <v>1.03333333333333</v>
      </c>
      <c r="E9" s="21" t="n">
        <f aca="false">IFERROR(SUMIFS(每日记录!$P:$P,每日记录!$B:$B,$A9,每日记录!$A:$A,"&gt;="&amp;$C$2,每日记录!$A:$A,"&lt;="&amp;$C$3)/SUMIFS(每日记录!$Q:$Q,每日记录!$B:$B,$A9,每日记录!$A:$A,"&gt;="&amp;$C$2,每日记录!$A:$A,"&lt;="&amp;$C$3),0)</f>
        <v>0.00602822580645161</v>
      </c>
      <c r="F9" s="19" t="n">
        <f aca="false">SUMIFS(每日记录!$R:$R,每日记录!$B:$B,$A9,每日记录!$A:$A,"&gt;="&amp;$C$2,每日记录!$A:$A,"&lt;="&amp;$C$3)</f>
        <v>1</v>
      </c>
      <c r="G9" s="9" t="n">
        <v>0</v>
      </c>
      <c r="H9" s="9" t="n">
        <v>0</v>
      </c>
      <c r="I9" s="19" t="n">
        <f aca="false">IF(D9&gt;=设定!$E$7,设定!$F$7,IF(D9&gt;=设定!$E$6,设定!$F$6,IF(D9&gt;=设定!$E$5,设定!$F$5,0)))</f>
        <v>80</v>
      </c>
      <c r="J9" s="19" t="n">
        <f aca="false">IF(OR(E9&lt;0,F9&gt;0,C9=0),0,IF(E9&lt;=设定!$E$11,设定!$F$11,IF(E9&lt;=设定!$E$12,设定!$F$12,0)))</f>
        <v>0</v>
      </c>
      <c r="K9" s="27" t="n">
        <f aca="false">IF(H9&gt;0,设定!$F$24,IF(G9+F9=0,设定!$F$22,IF(G9+F9=1,设定!$F$23,设定!$F$24)))</f>
        <v>0.5</v>
      </c>
    </row>
    <row r="10" customFormat="false" ht="15" hidden="false" customHeight="false" outlineLevel="0" collapsed="false">
      <c r="A10" s="14" t="s">
        <v>68</v>
      </c>
    </row>
    <row r="12" customFormat="false" ht="15" hidden="false" customHeight="false" outlineLevel="0" collapsed="false">
      <c r="A12" s="26" t="s">
        <v>69</v>
      </c>
    </row>
    <row r="13" customFormat="false" ht="45" hidden="false" customHeight="true" outlineLevel="0" collapsed="false">
      <c r="A13" s="7" t="s">
        <v>70</v>
      </c>
      <c r="B13" s="7" t="s">
        <v>41</v>
      </c>
      <c r="C13" s="7" t="s">
        <v>71</v>
      </c>
      <c r="D13" s="7" t="s">
        <v>72</v>
      </c>
      <c r="E13" s="7" t="s">
        <v>73</v>
      </c>
      <c r="F13" s="7" t="s">
        <v>66</v>
      </c>
      <c r="G13" s="7" t="s">
        <v>67</v>
      </c>
      <c r="H13" s="7" t="s">
        <v>35</v>
      </c>
      <c r="I13" s="7" t="s">
        <v>74</v>
      </c>
      <c r="J13" s="7" t="s">
        <v>75</v>
      </c>
    </row>
    <row r="14" customFormat="false" ht="15" hidden="false" customHeight="false" outlineLevel="0" collapsed="false">
      <c r="A14" s="17" t="s">
        <v>76</v>
      </c>
      <c r="B14" s="17" t="s">
        <v>57</v>
      </c>
      <c r="C14" s="9" t="n">
        <v>0</v>
      </c>
      <c r="D14" s="9" t="n">
        <v>0</v>
      </c>
      <c r="E14" s="19" t="n">
        <f aca="false">IF(A14="","",IF(C14+D14=0,设定!$F$16,IF(C14+D14=1,设定!$F$17,设定!$F$18)))</f>
        <v>80</v>
      </c>
      <c r="F14" s="19" t="n">
        <f aca="false">IF(A14="","",IFERROR(INDEX($I$7:$I$9,MATCH($B14,$A$7:$A$9,0)),0))</f>
        <v>80</v>
      </c>
      <c r="G14" s="19" t="n">
        <f aca="false">IF(A14="","",IFERROR(INDEX($J$7:$J$9,MATCH($B14,$A$7:$A$9,0)),0))</f>
        <v>50</v>
      </c>
      <c r="H14" s="27" t="n">
        <f aca="false">IF(A14="","",IFERROR(INDEX($K$7:$K$9,MATCH($B14,$A$7:$A$9,0)),0))</f>
        <v>1</v>
      </c>
      <c r="I14" s="19" t="n">
        <f aca="false">IF(A14="","",(F14+G14)*H14)</f>
        <v>130</v>
      </c>
      <c r="J14" s="28" t="n">
        <f aca="false">IF(A14="","",E14+I14)</f>
        <v>210</v>
      </c>
    </row>
    <row r="15" customFormat="false" ht="15" hidden="false" customHeight="false" outlineLevel="0" collapsed="false">
      <c r="A15" s="17" t="s">
        <v>77</v>
      </c>
      <c r="B15" s="17" t="s">
        <v>57</v>
      </c>
      <c r="C15" s="9" t="n">
        <v>1</v>
      </c>
      <c r="D15" s="9" t="n">
        <v>0</v>
      </c>
      <c r="E15" s="19" t="n">
        <f aca="false">IF(A15="","",IF(C15+D15=0,设定!$F$16,IF(C15+D15=1,设定!$F$17,设定!$F$18)))</f>
        <v>40</v>
      </c>
      <c r="F15" s="19" t="n">
        <f aca="false">IF(A15="","",IFERROR(INDEX($I$7:$I$9,MATCH($B15,$A$7:$A$9,0)),0))</f>
        <v>80</v>
      </c>
      <c r="G15" s="19" t="n">
        <f aca="false">IF(A15="","",IFERROR(INDEX($J$7:$J$9,MATCH($B15,$A$7:$A$9,0)),0))</f>
        <v>50</v>
      </c>
      <c r="H15" s="27" t="n">
        <f aca="false">IF(A15="","",IFERROR(INDEX($K$7:$K$9,MATCH($B15,$A$7:$A$9,0)),0))</f>
        <v>1</v>
      </c>
      <c r="I15" s="19" t="n">
        <f aca="false">IF(A15="","",(F15+G15)*H15)</f>
        <v>130</v>
      </c>
      <c r="J15" s="28" t="n">
        <f aca="false">IF(A15="","",E15+I15)</f>
        <v>170</v>
      </c>
    </row>
    <row r="16" customFormat="false" ht="15" hidden="false" customHeight="false" outlineLevel="0" collapsed="false">
      <c r="A16" s="17" t="s">
        <v>78</v>
      </c>
      <c r="B16" s="17" t="s">
        <v>57</v>
      </c>
      <c r="C16" s="9" t="n">
        <v>0</v>
      </c>
      <c r="D16" s="9" t="n">
        <v>0</v>
      </c>
      <c r="E16" s="19" t="n">
        <f aca="false">IF(A16="","",IF(C16+D16=0,设定!$F$16,IF(C16+D16=1,设定!$F$17,设定!$F$18)))</f>
        <v>80</v>
      </c>
      <c r="F16" s="19" t="n">
        <f aca="false">IF(A16="","",IFERROR(INDEX($I$7:$I$9,MATCH($B16,$A$7:$A$9,0)),0))</f>
        <v>80</v>
      </c>
      <c r="G16" s="19" t="n">
        <f aca="false">IF(A16="","",IFERROR(INDEX($J$7:$J$9,MATCH($B16,$A$7:$A$9,0)),0))</f>
        <v>50</v>
      </c>
      <c r="H16" s="27" t="n">
        <f aca="false">IF(A16="","",IFERROR(INDEX($K$7:$K$9,MATCH($B16,$A$7:$A$9,0)),0))</f>
        <v>1</v>
      </c>
      <c r="I16" s="19" t="n">
        <f aca="false">IF(A16="","",(F16+G16)*H16)</f>
        <v>130</v>
      </c>
      <c r="J16" s="28" t="n">
        <f aca="false">IF(A16="","",E16+I16)</f>
        <v>210</v>
      </c>
    </row>
    <row r="17" customFormat="false" ht="15" hidden="false" customHeight="false" outlineLevel="0" collapsed="false">
      <c r="A17" s="17" t="s">
        <v>79</v>
      </c>
      <c r="B17" s="17" t="s">
        <v>58</v>
      </c>
      <c r="C17" s="9" t="n">
        <v>0</v>
      </c>
      <c r="D17" s="9" t="n">
        <v>0</v>
      </c>
      <c r="E17" s="19" t="n">
        <f aca="false">IF(A17="","",IF(C17+D17=0,设定!$F$16,IF(C17+D17=1,设定!$F$17,设定!$F$18)))</f>
        <v>80</v>
      </c>
      <c r="F17" s="19" t="n">
        <f aca="false">IF(A17="","",IFERROR(INDEX($I$7:$I$9,MATCH($B17,$A$7:$A$9,0)),0))</f>
        <v>120</v>
      </c>
      <c r="G17" s="19" t="n">
        <f aca="false">IF(A17="","",IFERROR(INDEX($J$7:$J$9,MATCH($B17,$A$7:$A$9,0)),0))</f>
        <v>50</v>
      </c>
      <c r="H17" s="27" t="n">
        <f aca="false">IF(A17="","",IFERROR(INDEX($K$7:$K$9,MATCH($B17,$A$7:$A$9,0)),0))</f>
        <v>1</v>
      </c>
      <c r="I17" s="19" t="n">
        <f aca="false">IF(A17="","",(F17+G17)*H17)</f>
        <v>170</v>
      </c>
      <c r="J17" s="28" t="n">
        <f aca="false">IF(A17="","",E17+I17)</f>
        <v>250</v>
      </c>
    </row>
    <row r="18" customFormat="false" ht="15" hidden="false" customHeight="false" outlineLevel="0" collapsed="false">
      <c r="A18" s="17" t="s">
        <v>80</v>
      </c>
      <c r="B18" s="17" t="s">
        <v>58</v>
      </c>
      <c r="C18" s="9" t="n">
        <v>0</v>
      </c>
      <c r="D18" s="9" t="n">
        <v>2</v>
      </c>
      <c r="E18" s="19" t="n">
        <f aca="false">IF(A18="","",IF(C18+D18=0,设定!$F$16,IF(C18+D18=1,设定!$F$17,设定!$F$18)))</f>
        <v>0</v>
      </c>
      <c r="F18" s="19" t="n">
        <f aca="false">IF(A18="","",IFERROR(INDEX($I$7:$I$9,MATCH($B18,$A$7:$A$9,0)),0))</f>
        <v>120</v>
      </c>
      <c r="G18" s="19" t="n">
        <f aca="false">IF(A18="","",IFERROR(INDEX($J$7:$J$9,MATCH($B18,$A$7:$A$9,0)),0))</f>
        <v>50</v>
      </c>
      <c r="H18" s="27" t="n">
        <f aca="false">IF(A18="","",IFERROR(INDEX($K$7:$K$9,MATCH($B18,$A$7:$A$9,0)),0))</f>
        <v>1</v>
      </c>
      <c r="I18" s="19" t="n">
        <f aca="false">IF(A18="","",(F18+G18)*H18)</f>
        <v>170</v>
      </c>
      <c r="J18" s="28" t="n">
        <f aca="false">IF(A18="","",E18+I18)</f>
        <v>170</v>
      </c>
    </row>
    <row r="19" customFormat="false" ht="15" hidden="false" customHeight="false" outlineLevel="0" collapsed="false">
      <c r="A19" s="17" t="s">
        <v>81</v>
      </c>
      <c r="B19" s="17" t="s">
        <v>58</v>
      </c>
      <c r="C19" s="9" t="n">
        <v>0</v>
      </c>
      <c r="D19" s="9" t="n">
        <v>0</v>
      </c>
      <c r="E19" s="19" t="n">
        <f aca="false">IF(A19="","",IF(C19+D19=0,设定!$F$16,IF(C19+D19=1,设定!$F$17,设定!$F$18)))</f>
        <v>80</v>
      </c>
      <c r="F19" s="19" t="n">
        <f aca="false">IF(A19="","",IFERROR(INDEX($I$7:$I$9,MATCH($B19,$A$7:$A$9,0)),0))</f>
        <v>120</v>
      </c>
      <c r="G19" s="19" t="n">
        <f aca="false">IF(A19="","",IFERROR(INDEX($J$7:$J$9,MATCH($B19,$A$7:$A$9,0)),0))</f>
        <v>50</v>
      </c>
      <c r="H19" s="27" t="n">
        <f aca="false">IF(A19="","",IFERROR(INDEX($K$7:$K$9,MATCH($B19,$A$7:$A$9,0)),0))</f>
        <v>1</v>
      </c>
      <c r="I19" s="19" t="n">
        <f aca="false">IF(A19="","",(F19+G19)*H19)</f>
        <v>170</v>
      </c>
      <c r="J19" s="28" t="n">
        <f aca="false">IF(A19="","",E19+I19)</f>
        <v>250</v>
      </c>
    </row>
    <row r="20" customFormat="false" ht="15" hidden="false" customHeight="false" outlineLevel="0" collapsed="false">
      <c r="A20" s="17" t="s">
        <v>82</v>
      </c>
      <c r="B20" s="17" t="s">
        <v>59</v>
      </c>
      <c r="C20" s="9" t="n">
        <v>0</v>
      </c>
      <c r="D20" s="9" t="n">
        <v>1</v>
      </c>
      <c r="E20" s="19" t="n">
        <f aca="false">IF(A20="","",IF(C20+D20=0,设定!$F$16,IF(C20+D20=1,设定!$F$17,设定!$F$18)))</f>
        <v>40</v>
      </c>
      <c r="F20" s="19" t="n">
        <f aca="false">IF(A20="","",IFERROR(INDEX($I$7:$I$9,MATCH($B20,$A$7:$A$9,0)),0))</f>
        <v>80</v>
      </c>
      <c r="G20" s="19" t="n">
        <f aca="false">IF(A20="","",IFERROR(INDEX($J$7:$J$9,MATCH($B20,$A$7:$A$9,0)),0))</f>
        <v>0</v>
      </c>
      <c r="H20" s="27" t="n">
        <f aca="false">IF(A20="","",IFERROR(INDEX($K$7:$K$9,MATCH($B20,$A$7:$A$9,0)),0))</f>
        <v>0.5</v>
      </c>
      <c r="I20" s="19" t="n">
        <f aca="false">IF(A20="","",(F20+G20)*H20)</f>
        <v>40</v>
      </c>
      <c r="J20" s="28" t="n">
        <f aca="false">IF(A20="","",E20+I20)</f>
        <v>80</v>
      </c>
    </row>
    <row r="21" customFormat="false" ht="15" hidden="false" customHeight="false" outlineLevel="0" collapsed="false">
      <c r="A21" s="17" t="s">
        <v>83</v>
      </c>
      <c r="B21" s="17" t="s">
        <v>59</v>
      </c>
      <c r="C21" s="9" t="n">
        <v>0</v>
      </c>
      <c r="D21" s="9" t="n">
        <v>0</v>
      </c>
      <c r="E21" s="19" t="n">
        <f aca="false">IF(A21="","",IF(C21+D21=0,设定!$F$16,IF(C21+D21=1,设定!$F$17,设定!$F$18)))</f>
        <v>80</v>
      </c>
      <c r="F21" s="19" t="n">
        <f aca="false">IF(A21="","",IFERROR(INDEX($I$7:$I$9,MATCH($B21,$A$7:$A$9,0)),0))</f>
        <v>80</v>
      </c>
      <c r="G21" s="19" t="n">
        <f aca="false">IF(A21="","",IFERROR(INDEX($J$7:$J$9,MATCH($B21,$A$7:$A$9,0)),0))</f>
        <v>0</v>
      </c>
      <c r="H21" s="27" t="n">
        <f aca="false">IF(A21="","",IFERROR(INDEX($K$7:$K$9,MATCH($B21,$A$7:$A$9,0)),0))</f>
        <v>0.5</v>
      </c>
      <c r="I21" s="19" t="n">
        <f aca="false">IF(A21="","",(F21+G21)*H21)</f>
        <v>40</v>
      </c>
      <c r="J21" s="28" t="n">
        <f aca="false">IF(A21="","",E21+I21)</f>
        <v>120</v>
      </c>
    </row>
    <row r="22" customFormat="false" ht="15" hidden="false" customHeight="false" outlineLevel="0" collapsed="false">
      <c r="A22" s="17"/>
      <c r="B22" s="17"/>
      <c r="C22" s="9"/>
      <c r="D22" s="9"/>
      <c r="E22" s="19" t="str">
        <f aca="false">IF(A22="","",IF(C22+D22=0,设定!$F$16,IF(C22+D22=1,设定!$F$17,设定!$F$18)))</f>
        <v/>
      </c>
      <c r="F22" s="19" t="str">
        <f aca="false">IF(A22="","",IFERROR(INDEX($I$7:$I$9,MATCH($B22,$A$7:$A$9,0)),0))</f>
        <v/>
      </c>
      <c r="G22" s="19" t="str">
        <f aca="false">IF(A22="","",IFERROR(INDEX($J$7:$J$9,MATCH($B22,$A$7:$A$9,0)),0))</f>
        <v/>
      </c>
      <c r="H22" s="27" t="str">
        <f aca="false">IF(A22="","",IFERROR(INDEX($K$7:$K$9,MATCH($B22,$A$7:$A$9,0)),0))</f>
        <v/>
      </c>
      <c r="I22" s="19" t="str">
        <f aca="false">IF(A22="","",(F22+G22)*H22)</f>
        <v/>
      </c>
      <c r="J22" s="28" t="str">
        <f aca="false">IF(A22="","",E22+I22)</f>
        <v/>
      </c>
    </row>
    <row r="23" customFormat="false" ht="15" hidden="false" customHeight="false" outlineLevel="0" collapsed="false">
      <c r="A23" s="17"/>
      <c r="B23" s="17"/>
      <c r="C23" s="9"/>
      <c r="D23" s="9"/>
      <c r="E23" s="19" t="str">
        <f aca="false">IF(A23="","",IF(C23+D23=0,设定!$F$16,IF(C23+D23=1,设定!$F$17,设定!$F$18)))</f>
        <v/>
      </c>
      <c r="F23" s="19" t="str">
        <f aca="false">IF(A23="","",IFERROR(INDEX($I$7:$I$9,MATCH($B23,$A$7:$A$9,0)),0))</f>
        <v/>
      </c>
      <c r="G23" s="19" t="str">
        <f aca="false">IF(A23="","",IFERROR(INDEX($J$7:$J$9,MATCH($B23,$A$7:$A$9,0)),0))</f>
        <v/>
      </c>
      <c r="H23" s="27" t="str">
        <f aca="false">IF(A23="","",IFERROR(INDEX($K$7:$K$9,MATCH($B23,$A$7:$A$9,0)),0))</f>
        <v/>
      </c>
      <c r="I23" s="19" t="str">
        <f aca="false">IF(A23="","",(F23+G23)*H23)</f>
        <v/>
      </c>
      <c r="J23" s="28" t="str">
        <f aca="false">IF(A23="","",E23+I23)</f>
        <v/>
      </c>
    </row>
    <row r="24" customFormat="false" ht="15" hidden="false" customHeight="false" outlineLevel="0" collapsed="false">
      <c r="A24" s="17"/>
      <c r="B24" s="17"/>
      <c r="C24" s="9"/>
      <c r="D24" s="9"/>
      <c r="E24" s="19" t="str">
        <f aca="false">IF(A24="","",IF(C24+D24=0,设定!$F$16,IF(C24+D24=1,设定!$F$17,设定!$F$18)))</f>
        <v/>
      </c>
      <c r="F24" s="19" t="str">
        <f aca="false">IF(A24="","",IFERROR(INDEX($I$7:$I$9,MATCH($B24,$A$7:$A$9,0)),0))</f>
        <v/>
      </c>
      <c r="G24" s="19" t="str">
        <f aca="false">IF(A24="","",IFERROR(INDEX($J$7:$J$9,MATCH($B24,$A$7:$A$9,0)),0))</f>
        <v/>
      </c>
      <c r="H24" s="27" t="str">
        <f aca="false">IF(A24="","",IFERROR(INDEX($K$7:$K$9,MATCH($B24,$A$7:$A$9,0)),0))</f>
        <v/>
      </c>
      <c r="I24" s="19" t="str">
        <f aca="false">IF(A24="","",(F24+G24)*H24)</f>
        <v/>
      </c>
      <c r="J24" s="28" t="str">
        <f aca="false">IF(A24="","",E24+I24)</f>
        <v/>
      </c>
    </row>
    <row r="25" customFormat="false" ht="15" hidden="false" customHeight="false" outlineLevel="0" collapsed="false">
      <c r="A25" s="17"/>
      <c r="B25" s="17"/>
      <c r="C25" s="9"/>
      <c r="D25" s="9"/>
      <c r="E25" s="19" t="str">
        <f aca="false">IF(A25="","",IF(C25+D25=0,设定!$F$16,IF(C25+D25=1,设定!$F$17,设定!$F$18)))</f>
        <v/>
      </c>
      <c r="F25" s="19" t="str">
        <f aca="false">IF(A25="","",IFERROR(INDEX($I$7:$I$9,MATCH($B25,$A$7:$A$9,0)),0))</f>
        <v/>
      </c>
      <c r="G25" s="19" t="str">
        <f aca="false">IF(A25="","",IFERROR(INDEX($J$7:$J$9,MATCH($B25,$A$7:$A$9,0)),0))</f>
        <v/>
      </c>
      <c r="H25" s="27" t="str">
        <f aca="false">IF(A25="","",IFERROR(INDEX($K$7:$K$9,MATCH($B25,$A$7:$A$9,0)),0))</f>
        <v/>
      </c>
      <c r="I25" s="19" t="str">
        <f aca="false">IF(A25="","",(F25+G25)*H25)</f>
        <v/>
      </c>
      <c r="J25" s="28" t="str">
        <f aca="false">IF(A25="","",E25+I25)</f>
        <v/>
      </c>
    </row>
    <row r="27" customFormat="false" ht="15" hidden="false" customHeight="false" outlineLevel="0" collapsed="false">
      <c r="H27" s="3" t="s">
        <v>84</v>
      </c>
      <c r="J27" s="29" t="n">
        <f aca="false">SUM(J14:J25)</f>
        <v>1460</v>
      </c>
    </row>
  </sheetData>
  <dataValidations count="1">
    <dataValidation allowBlank="true" errorStyle="stop" operator="between" showDropDown="false" showErrorMessage="false" showInputMessage="false" sqref="B14:B25" type="list">
      <formula1>"Line 1,Line 2,Line 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2026-10-24T16:21:46Z</dcterms:created>
  <dc:creator>openpyxl</dc:creator>
  <dc:description/>
  <dc:language>en-US</dc:language>
  <cp:lastModifiedBy/>
  <dcterms:modified xsi:type="dcterms:W3CDTF">2026-10-24T16:21:46Z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